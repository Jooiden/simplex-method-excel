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d0360a4e9aa2e6a7/Документы/1_МатМет/"/>
    </mc:Choice>
  </mc:AlternateContent>
  <xr:revisionPtr revIDLastSave="5" documentId="11_AD4DF75460589B3ACB7284F6879F73005BDEDDA7" xr6:coauthVersionLast="45" xr6:coauthVersionMax="45" xr10:uidLastSave="{0588340C-A37C-43B6-99B0-7FC182F86500}"/>
  <bookViews>
    <workbookView xWindow="2472" yWindow="2472" windowWidth="17280" windowHeight="8880" firstSheet="5" activeTab="7" xr2:uid="{00000000-000D-0000-FFFF-FFFF00000000}"/>
  </bookViews>
  <sheets>
    <sheet name="1" sheetId="3" r:id="rId1"/>
    <sheet name="Отчет о результатах 1" sheetId="2" r:id="rId2"/>
    <sheet name="2" sheetId="1" r:id="rId3"/>
    <sheet name="Отчет о результатах 2" sheetId="4" r:id="rId4"/>
    <sheet name="3" sheetId="5" r:id="rId5"/>
    <sheet name="Отчет о результатах 3" sheetId="6" r:id="rId6"/>
    <sheet name="4" sheetId="7" r:id="rId7"/>
    <sheet name="Отчет о результатах 4" sheetId="8" r:id="rId8"/>
  </sheets>
  <definedNames>
    <definedName name="solver_adj" localSheetId="0" hidden="1">'1'!$A$5:$D$5</definedName>
    <definedName name="solver_adj" localSheetId="2" hidden="1">'2'!$A$5:$D$5</definedName>
    <definedName name="solver_adj" localSheetId="4" hidden="1">'3'!$A$5:$C$5</definedName>
    <definedName name="solver_adj" localSheetId="6" hidden="1">'4'!$A$5:$C$5</definedName>
    <definedName name="solver_cvg" localSheetId="0" hidden="1">0.0001</definedName>
    <definedName name="solver_cvg" localSheetId="2" hidden="1">0.0001</definedName>
    <definedName name="solver_cvg" localSheetId="4" hidden="1">0.0001</definedName>
    <definedName name="solver_cvg" localSheetId="6" hidden="1">0.0001</definedName>
    <definedName name="solver_drv" localSheetId="0" hidden="1">1</definedName>
    <definedName name="solver_drv" localSheetId="2" hidden="1">2</definedName>
    <definedName name="solver_drv" localSheetId="4" hidden="1">1</definedName>
    <definedName name="solver_drv" localSheetId="6" hidden="1">1</definedName>
    <definedName name="solver_eng" localSheetId="0" hidden="1">2</definedName>
    <definedName name="solver_eng" localSheetId="2" hidden="1">2</definedName>
    <definedName name="solver_eng" localSheetId="4" hidden="1">2</definedName>
    <definedName name="solver_eng" localSheetId="6" hidden="1">1</definedName>
    <definedName name="solver_eng" localSheetId="1" hidden="1">1</definedName>
    <definedName name="solver_est" localSheetId="0" hidden="1">1</definedName>
    <definedName name="solver_est" localSheetId="2" hidden="1">1</definedName>
    <definedName name="solver_est" localSheetId="4" hidden="1">1</definedName>
    <definedName name="solver_est" localSheetId="6" hidden="1">1</definedName>
    <definedName name="solver_itr" localSheetId="0" hidden="1">2147483647</definedName>
    <definedName name="solver_itr" localSheetId="2" hidden="1">2147483647</definedName>
    <definedName name="solver_itr" localSheetId="4" hidden="1">2147483647</definedName>
    <definedName name="solver_itr" localSheetId="6" hidden="1">2147483647</definedName>
    <definedName name="solver_lhs1" localSheetId="0" hidden="1">'1'!$A$5:$D$5</definedName>
    <definedName name="solver_lhs1" localSheetId="2" hidden="1">'2'!$A$5:$D$5</definedName>
    <definedName name="solver_lhs1" localSheetId="4" hidden="1">'3'!$A$5:$C$5</definedName>
    <definedName name="solver_lhs1" localSheetId="6" hidden="1">'4'!$A$5:$C$5</definedName>
    <definedName name="solver_lhs2" localSheetId="0" hidden="1">'1'!$E$10</definedName>
    <definedName name="solver_lhs2" localSheetId="2" hidden="1">'2'!$E$10</definedName>
    <definedName name="solver_lhs2" localSheetId="4" hidden="1">'3'!$D$10</definedName>
    <definedName name="solver_lhs2" localSheetId="6" hidden="1">'4'!$D$10</definedName>
    <definedName name="solver_lhs3" localSheetId="0" hidden="1">'1'!$E$8</definedName>
    <definedName name="solver_lhs3" localSheetId="2" hidden="1">'2'!$E$8</definedName>
    <definedName name="solver_lhs3" localSheetId="4" hidden="1">'3'!$D$8</definedName>
    <definedName name="solver_lhs3" localSheetId="6" hidden="1">'4'!$D$8</definedName>
    <definedName name="solver_lhs4" localSheetId="0" hidden="1">'1'!$E$9</definedName>
    <definedName name="solver_lhs4" localSheetId="2" hidden="1">'2'!$E$9</definedName>
    <definedName name="solver_lhs4" localSheetId="4" hidden="1">'3'!$D$9</definedName>
    <definedName name="solver_lhs4" localSheetId="6" hidden="1">'4'!$D$9</definedName>
    <definedName name="solver_mip" localSheetId="0" hidden="1">2147483647</definedName>
    <definedName name="solver_mip" localSheetId="2" hidden="1">2147483647</definedName>
    <definedName name="solver_mip" localSheetId="4" hidden="1">2147483647</definedName>
    <definedName name="solver_mip" localSheetId="6" hidden="1">2147483647</definedName>
    <definedName name="solver_mni" localSheetId="0" hidden="1">30</definedName>
    <definedName name="solver_mni" localSheetId="2" hidden="1">30</definedName>
    <definedName name="solver_mni" localSheetId="4" hidden="1">30</definedName>
    <definedName name="solver_mni" localSheetId="6" hidden="1">30</definedName>
    <definedName name="solver_mrt" localSheetId="0" hidden="1">0.075</definedName>
    <definedName name="solver_mrt" localSheetId="2" hidden="1">0.075</definedName>
    <definedName name="solver_mrt" localSheetId="4" hidden="1">0.075</definedName>
    <definedName name="solver_mrt" localSheetId="6" hidden="1">0.075</definedName>
    <definedName name="solver_msl" localSheetId="0" hidden="1">2</definedName>
    <definedName name="solver_msl" localSheetId="2" hidden="1">2</definedName>
    <definedName name="solver_msl" localSheetId="4" hidden="1">2</definedName>
    <definedName name="solver_msl" localSheetId="6" hidden="1">2</definedName>
    <definedName name="solver_neg" localSheetId="0" hidden="1">1</definedName>
    <definedName name="solver_neg" localSheetId="2" hidden="1">1</definedName>
    <definedName name="solver_neg" localSheetId="4" hidden="1">1</definedName>
    <definedName name="solver_neg" localSheetId="6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4" hidden="1">2147483647</definedName>
    <definedName name="solver_nod" localSheetId="6" hidden="1">2147483647</definedName>
    <definedName name="solver_num" localSheetId="0" hidden="1">4</definedName>
    <definedName name="solver_num" localSheetId="2" hidden="1">4</definedName>
    <definedName name="solver_num" localSheetId="4" hidden="1">4</definedName>
    <definedName name="solver_num" localSheetId="6" hidden="1">4</definedName>
    <definedName name="solver_num" localSheetId="1" hidden="1">0</definedName>
    <definedName name="solver_nwt" localSheetId="0" hidden="1">1</definedName>
    <definedName name="solver_nwt" localSheetId="2" hidden="1">1</definedName>
    <definedName name="solver_nwt" localSheetId="4" hidden="1">1</definedName>
    <definedName name="solver_nwt" localSheetId="6" hidden="1">1</definedName>
    <definedName name="solver_opt" localSheetId="0" hidden="1">'1'!$E$5</definedName>
    <definedName name="solver_opt" localSheetId="2" hidden="1">'2'!$E$5</definedName>
    <definedName name="solver_opt" localSheetId="4" hidden="1">'3'!$D$5</definedName>
    <definedName name="solver_opt" localSheetId="6" hidden="1">'4'!$D$5</definedName>
    <definedName name="solver_opt" localSheetId="1" hidden="1">'Отчет о результатах 1'!$A$1</definedName>
    <definedName name="solver_pre" localSheetId="0" hidden="1">0.000001</definedName>
    <definedName name="solver_pre" localSheetId="2" hidden="1">0.000001</definedName>
    <definedName name="solver_pre" localSheetId="4" hidden="1">0.000001</definedName>
    <definedName name="solver_pre" localSheetId="6" hidden="1">0.000001</definedName>
    <definedName name="solver_rbv" localSheetId="0" hidden="1">1</definedName>
    <definedName name="solver_rbv" localSheetId="2" hidden="1">2</definedName>
    <definedName name="solver_rbv" localSheetId="4" hidden="1">1</definedName>
    <definedName name="solver_rbv" localSheetId="6" hidden="1">1</definedName>
    <definedName name="solver_rel1" localSheetId="0" hidden="1">4</definedName>
    <definedName name="solver_rel1" localSheetId="2" hidden="1">4</definedName>
    <definedName name="solver_rel1" localSheetId="4" hidden="1">4</definedName>
    <definedName name="solver_rel1" localSheetId="6" hidden="1">4</definedName>
    <definedName name="solver_rel2" localSheetId="0" hidden="1">1</definedName>
    <definedName name="solver_rel2" localSheetId="2" hidden="1">1</definedName>
    <definedName name="solver_rel2" localSheetId="4" hidden="1">1</definedName>
    <definedName name="solver_rel2" localSheetId="6" hidden="1">3</definedName>
    <definedName name="solver_rel3" localSheetId="0" hidden="1">1</definedName>
    <definedName name="solver_rel3" localSheetId="2" hidden="1">1</definedName>
    <definedName name="solver_rel3" localSheetId="4" hidden="1">1</definedName>
    <definedName name="solver_rel3" localSheetId="6" hidden="1">3</definedName>
    <definedName name="solver_rel4" localSheetId="0" hidden="1">1</definedName>
    <definedName name="solver_rel4" localSheetId="2" hidden="1">1</definedName>
    <definedName name="solver_rel4" localSheetId="4" hidden="1">1</definedName>
    <definedName name="solver_rel4" localSheetId="6" hidden="1">3</definedName>
    <definedName name="solver_rhs1" localSheetId="0" hidden="1">целое</definedName>
    <definedName name="solver_rhs1" localSheetId="2" hidden="1">целое</definedName>
    <definedName name="solver_rhs1" localSheetId="4" hidden="1">целое</definedName>
    <definedName name="solver_rhs1" localSheetId="6" hidden="1">целое</definedName>
    <definedName name="solver_rhs2" localSheetId="0" hidden="1">'1'!$G$10</definedName>
    <definedName name="solver_rhs2" localSheetId="2" hidden="1">'2'!$G$10</definedName>
    <definedName name="solver_rhs2" localSheetId="4" hidden="1">'3'!$F$10</definedName>
    <definedName name="solver_rhs2" localSheetId="6" hidden="1">'4'!$F$10</definedName>
    <definedName name="solver_rhs3" localSheetId="0" hidden="1">'1'!$G$8</definedName>
    <definedName name="solver_rhs3" localSheetId="2" hidden="1">'2'!$G$8</definedName>
    <definedName name="solver_rhs3" localSheetId="4" hidden="1">'3'!$F$8</definedName>
    <definedName name="solver_rhs3" localSheetId="6" hidden="1">'4'!$F$8</definedName>
    <definedName name="solver_rhs4" localSheetId="0" hidden="1">'1'!$G$9</definedName>
    <definedName name="solver_rhs4" localSheetId="2" hidden="1">'2'!$G$9</definedName>
    <definedName name="solver_rhs4" localSheetId="4" hidden="1">'3'!$F$9</definedName>
    <definedName name="solver_rhs4" localSheetId="6" hidden="1">'4'!$F$9</definedName>
    <definedName name="solver_rlx" localSheetId="0" hidden="1">2</definedName>
    <definedName name="solver_rlx" localSheetId="2" hidden="1">2</definedName>
    <definedName name="solver_rlx" localSheetId="4" hidden="1">2</definedName>
    <definedName name="solver_rlx" localSheetId="6" hidden="1">2</definedName>
    <definedName name="solver_rsd" localSheetId="0" hidden="1">0</definedName>
    <definedName name="solver_rsd" localSheetId="2" hidden="1">0</definedName>
    <definedName name="solver_rsd" localSheetId="4" hidden="1">0</definedName>
    <definedName name="solver_rsd" localSheetId="6" hidden="1">0</definedName>
    <definedName name="solver_scl" localSheetId="0" hidden="1">1</definedName>
    <definedName name="solver_scl" localSheetId="2" hidden="1">2</definedName>
    <definedName name="solver_scl" localSheetId="4" hidden="1">1</definedName>
    <definedName name="solver_scl" localSheetId="6" hidden="1">1</definedName>
    <definedName name="solver_sho" localSheetId="0" hidden="1">2</definedName>
    <definedName name="solver_sho" localSheetId="2" hidden="1">2</definedName>
    <definedName name="solver_sho" localSheetId="4" hidden="1">2</definedName>
    <definedName name="solver_sho" localSheetId="6" hidden="1">2</definedName>
    <definedName name="solver_ssz" localSheetId="0" hidden="1">100</definedName>
    <definedName name="solver_ssz" localSheetId="2" hidden="1">100</definedName>
    <definedName name="solver_ssz" localSheetId="4" hidden="1">100</definedName>
    <definedName name="solver_ssz" localSheetId="6" hidden="1">100</definedName>
    <definedName name="solver_tim" localSheetId="0" hidden="1">2147483647</definedName>
    <definedName name="solver_tim" localSheetId="2" hidden="1">2147483647</definedName>
    <definedName name="solver_tim" localSheetId="4" hidden="1">2147483647</definedName>
    <definedName name="solver_tim" localSheetId="6" hidden="1">2147483647</definedName>
    <definedName name="solver_tol" localSheetId="0" hidden="1">0.01</definedName>
    <definedName name="solver_tol" localSheetId="2" hidden="1">0.01</definedName>
    <definedName name="solver_tol" localSheetId="4" hidden="1">0.01</definedName>
    <definedName name="solver_tol" localSheetId="6" hidden="1">0.01</definedName>
    <definedName name="solver_typ" localSheetId="0" hidden="1">1</definedName>
    <definedName name="solver_typ" localSheetId="2" hidden="1">1</definedName>
    <definedName name="solver_typ" localSheetId="4" hidden="1">1</definedName>
    <definedName name="solver_typ" localSheetId="6" hidden="1">2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4" hidden="1">0</definedName>
    <definedName name="solver_val" localSheetId="6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4" hidden="1">3</definedName>
    <definedName name="solver_ver" localSheetId="6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7" l="1"/>
  <c r="D9" i="7"/>
  <c r="D8" i="7"/>
  <c r="D5" i="7"/>
  <c r="D10" i="5"/>
  <c r="D9" i="5"/>
  <c r="D8" i="5"/>
  <c r="D5" i="5"/>
  <c r="E8" i="1"/>
  <c r="E9" i="1"/>
  <c r="E10" i="1"/>
  <c r="E10" i="3"/>
  <c r="E5" i="1"/>
  <c r="E5" i="3"/>
  <c r="E9" i="3"/>
  <c r="E8" i="3"/>
</calcChain>
</file>

<file path=xl/sharedStrings.xml><?xml version="1.0" encoding="utf-8"?>
<sst xmlns="http://schemas.openxmlformats.org/spreadsheetml/2006/main" count="269" uniqueCount="80">
  <si>
    <t>Задача1 Лабораторная работа 1</t>
  </si>
  <si>
    <t>Целевая функция</t>
  </si>
  <si>
    <t>X1</t>
  </si>
  <si>
    <t>x2</t>
  </si>
  <si>
    <t>x3</t>
  </si>
  <si>
    <t>x4</t>
  </si>
  <si>
    <t>Z</t>
  </si>
  <si>
    <t xml:space="preserve">Система ограничений </t>
  </si>
  <si>
    <t>&lt;=</t>
  </si>
  <si>
    <t>Microsoft Excel 16.0 Отчет о результатах</t>
  </si>
  <si>
    <t>Лист: [Сартбаев лаба1.xlsx]Лист1</t>
  </si>
  <si>
    <t>Отчет создан: 18.02.2026 14:19:56</t>
  </si>
  <si>
    <t>Результат: Целочисленное решение найдено в пределах допустимого отклонения. Все ограничения выполнены.</t>
  </si>
  <si>
    <t>Модуль поиска решения</t>
  </si>
  <si>
    <t>Модуль: Поиск решения лин. задач симплекс-методом</t>
  </si>
  <si>
    <t>Время решения: 0,016 секунд.</t>
  </si>
  <si>
    <t>Число итераций: 2 Число подзадач: 4</t>
  </si>
  <si>
    <t>Параметры поиска решения</t>
  </si>
  <si>
    <t>Максимальное время Без пределов,  Число итераций Без пределов, Precision 0,000001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</si>
  <si>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</si>
  <si>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</si>
  <si>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</si>
  <si>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</si>
  <si>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</si>
  <si>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</si>
  <si>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</si>
  <si>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</si>
  <si>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</si>
  <si>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</si>
  <si>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</si>
  <si>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</si>
  <si>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</si>
  <si>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$E$5</t>
  </si>
  <si>
    <t>$A$5</t>
  </si>
  <si>
    <t>$B$5</t>
  </si>
  <si>
    <t>$C$5</t>
  </si>
  <si>
    <t>$D$5</t>
  </si>
  <si>
    <t>$E$10</t>
  </si>
  <si>
    <t>$E$10&lt;=$G$10</t>
  </si>
  <si>
    <t>Без привязки</t>
  </si>
  <si>
    <t>$E$8</t>
  </si>
  <si>
    <t>$E$8&lt;=$G$8</t>
  </si>
  <si>
    <t>$E$9</t>
  </si>
  <si>
    <t>$E$9&lt;=$G$9</t>
  </si>
  <si>
    <t>Привязка</t>
  </si>
  <si>
    <t>$A$5:$D$5=Целочисленное</t>
  </si>
  <si>
    <t>$A$5:$D$5</t>
  </si>
  <si>
    <t>Задача2 Лабораторная работа 1</t>
  </si>
  <si>
    <t>Лист: [Сартбаев лаба1.xlsx]2</t>
  </si>
  <si>
    <t>Отчет создан: 20.02.2026 12:16:29</t>
  </si>
  <si>
    <t>Результат: Решение найдено. Все ограничения и условия оптимальности выполнены.</t>
  </si>
  <si>
    <t>Время решения: 0,031 секунд.</t>
  </si>
  <si>
    <t>Число итераций: 1 Число подзадач: 4</t>
  </si>
  <si>
    <t>Задача3 Лабораторная работа 1</t>
  </si>
  <si>
    <t>Лист: [Сартбаев лаба1.xlsx]3</t>
  </si>
  <si>
    <t>Отчет создан: 20.02.2026 12:26:51</t>
  </si>
  <si>
    <t>Время решения: 0,032 секунд.</t>
  </si>
  <si>
    <t>Число итераций: 1 Число подзадач: 2</t>
  </si>
  <si>
    <t>Максимальное время Без пределов,  Число итераций Без пределов, Precision 0,000001, Использовать автоматическое масштабирование</t>
  </si>
  <si>
    <t>$D$10</t>
  </si>
  <si>
    <t>$D$10&lt;=$F$10</t>
  </si>
  <si>
    <t>$D$8</t>
  </si>
  <si>
    <t>$D$8&lt;=$F$8</t>
  </si>
  <si>
    <t>$D$9</t>
  </si>
  <si>
    <t>$D$9&lt;=$F$9</t>
  </si>
  <si>
    <t>$A$5:$C$5=Целочисленное</t>
  </si>
  <si>
    <t>$A$5:$C$5</t>
  </si>
  <si>
    <t>Задача4 Лабораторная работа 1</t>
  </si>
  <si>
    <t>Лист: [Сартбаев лаба1.xlsx]4</t>
  </si>
  <si>
    <t>Отчет создан: 20.02.2026 12:30:07</t>
  </si>
  <si>
    <t>Модуль: Поиск решения нелинейных задач методом ОПГ</t>
  </si>
  <si>
    <t>Число итераций: 2 Число подзадач: 0</t>
  </si>
  <si>
    <t xml:space="preserve"> Сходимость 0,0001, Размер совокупности 100, Случайное начальное значение 0, Правые производные, Обязательные границы</t>
  </si>
  <si>
    <t>Ячейка целевой функции (Минимум)</t>
  </si>
  <si>
    <t>$D$10&gt;=$F$10</t>
  </si>
  <si>
    <t>$D$8&gt;=$F$8</t>
  </si>
  <si>
    <t>$D$9&gt;=$F$9</t>
  </si>
  <si>
    <t>&gt;=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</si>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</sst>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2" fontId="0" fillId="0" borderId="2" xfId="0" applyNumberFormat="1" applyFill="1" applyBorder="1" applyAlignment="1"/>
    <xf numFmtId="2" fontId="0" fillId="0" borderId="3" xfId="0" applyNumberFormat="1" applyFill="1" applyBorder="1" applyAlignment="1"/>
    <xf numFmtId="0" fontId="0" fillId="0" borderId="3" xfId="0" applyNumberFormat="1" applyFill="1" applyBorder="1" applyAlignment="1"/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3CC3-1C0E-42E6-B3EE-6972E2D762F1}">
  <dimension ref="A1:G10"/>
  <sheetViews>
    <sheetView workbookViewId="0">
      <selection activeCell="F4" sqref="F4"/>
    </sheetView>
  </sheetViews>
  <sheetFormatPr defaultRowHeight="14.4" x14ac:dyDescent="0.3"/>
  <sheetData>
    <row r="1" spans="1:7" x14ac:dyDescent="0.3">
      <c r="A1" s="13" t="s">
        <v>0</v>
      </c>
      <c r="B1" s="13"/>
      <c r="C1" s="13"/>
      <c r="D1" s="13"/>
    </row>
    <row r="3" spans="1:7" x14ac:dyDescent="0.3">
      <c r="A3" s="13" t="s">
        <v>1</v>
      </c>
      <c r="B3" s="13"/>
    </row>
    <row r="4" spans="1:7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78</v>
      </c>
    </row>
    <row r="5" spans="1:7" x14ac:dyDescent="0.3">
      <c r="A5" s="1">
        <v>19</v>
      </c>
      <c r="B5" s="1">
        <v>42</v>
      </c>
      <c r="C5" s="1">
        <v>0</v>
      </c>
      <c r="D5" s="1">
        <v>15</v>
      </c>
      <c r="E5" s="1">
        <f>A6*A5+B6*B5+C6*C5+D6*D5</f>
        <v>2015</v>
      </c>
    </row>
    <row r="6" spans="1:7" x14ac:dyDescent="0.3">
      <c r="A6">
        <v>35</v>
      </c>
      <c r="B6">
        <v>25</v>
      </c>
      <c r="C6">
        <v>10</v>
      </c>
      <c r="D6">
        <v>20</v>
      </c>
    </row>
    <row r="7" spans="1:7" x14ac:dyDescent="0.3">
      <c r="A7" s="13" t="s">
        <v>7</v>
      </c>
      <c r="B7" s="13"/>
      <c r="C7" s="13"/>
      <c r="D7" s="13"/>
    </row>
    <row r="8" spans="1:7" x14ac:dyDescent="0.3">
      <c r="A8">
        <v>4</v>
      </c>
      <c r="B8">
        <v>1</v>
      </c>
      <c r="C8">
        <v>2</v>
      </c>
      <c r="D8">
        <v>0</v>
      </c>
      <c r="E8">
        <f>SUMPRODUCT($A$5:$D$5,A8:D8)</f>
        <v>118</v>
      </c>
      <c r="F8" t="s">
        <v>8</v>
      </c>
      <c r="G8">
        <v>120</v>
      </c>
    </row>
    <row r="9" spans="1:7" x14ac:dyDescent="0.3">
      <c r="A9">
        <v>1</v>
      </c>
      <c r="B9">
        <v>3</v>
      </c>
      <c r="C9">
        <v>1</v>
      </c>
      <c r="D9">
        <v>1</v>
      </c>
      <c r="E9">
        <f t="shared" ref="E9" si="0">SUMPRODUCT($A$5:$D$5,A9:D9)</f>
        <v>160</v>
      </c>
      <c r="F9" t="s">
        <v>8</v>
      </c>
      <c r="G9">
        <v>160</v>
      </c>
    </row>
    <row r="10" spans="1:7" x14ac:dyDescent="0.3">
      <c r="A10">
        <v>2</v>
      </c>
      <c r="B10">
        <v>1</v>
      </c>
      <c r="C10">
        <v>1</v>
      </c>
      <c r="D10">
        <v>3</v>
      </c>
      <c r="E10">
        <f>SUMPRODUCT($A$5:$D$5,A10:D10)</f>
        <v>125</v>
      </c>
      <c r="F10" t="s">
        <v>8</v>
      </c>
      <c r="G10">
        <v>130</v>
      </c>
    </row>
  </sheetData>
  <mergeCells count="3">
    <mergeCell ref="A1:D1"/>
    <mergeCell ref="A3:B3"/>
    <mergeCell ref="A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5A97-D242-4F0A-9DE0-BD877A3DF452}">
  <dimension ref="A1:G34"/>
  <sheetViews>
    <sheetView showGridLines="0" workbookViewId="0">
      <selection activeCell="D9" sqref="D9"/>
    </sheetView>
  </sheetViews>
  <sheetFormatPr defaultRowHeight="14.4" outlineLevelRow="1" x14ac:dyDescent="0.3"/>
  <cols>
    <col min="1" max="1" width="2.33203125" customWidth="1"/>
    <col min="2" max="2" width="24.88671875" bestFit="1" customWidth="1"/>
    <col min="3" max="3" width="4.77734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2" t="s">
        <v>9</v>
      </c>
    </row>
    <row r="2" spans="1:5" x14ac:dyDescent="0.3">
      <c r="A2" s="2" t="s">
        <v>10</v>
      </c>
    </row>
    <row r="3" spans="1:5" x14ac:dyDescent="0.3">
      <c r="A3" s="2" t="s">
        <v>11</v>
      </c>
    </row>
    <row r="4" spans="1:5" x14ac:dyDescent="0.3">
      <c r="A4" s="2" t="s">
        <v>12</v>
      </c>
    </row>
    <row r="5" spans="1:5" x14ac:dyDescent="0.3">
      <c r="A5" s="2" t="s">
        <v>13</v>
      </c>
    </row>
    <row r="6" spans="1:5" hidden="1" outlineLevel="1" x14ac:dyDescent="0.3">
      <c r="A6" s="2"/>
      <c r="B6" t="s">
        <v>14</v>
      </c>
    </row>
    <row r="7" spans="1:5" hidden="1" outlineLevel="1" x14ac:dyDescent="0.3">
      <c r="A7" s="2"/>
      <c r="B7" t="s">
        <v>15</v>
      </c>
    </row>
    <row r="8" spans="1:5" hidden="1" outlineLevel="1" x14ac:dyDescent="0.3">
      <c r="A8" s="2"/>
      <c r="B8" t="s">
        <v>16</v>
      </c>
    </row>
    <row r="9" spans="1:5" collapsed="1" x14ac:dyDescent="0.3">
      <c r="A9" s="2" t="s">
        <v>17</v>
      </c>
    </row>
    <row r="10" spans="1:5" hidden="1" outlineLevel="1" x14ac:dyDescent="0.3">
      <c r="B10" t="s">
        <v>18</v>
      </c>
    </row>
    <row r="11" spans="1:5" hidden="1" outlineLevel="1" x14ac:dyDescent="0.3">
      <c r="B11" t="s">
        <v>19</v>
      </c>
    </row>
    <row r="12" spans="1:5" collapsed="1" x14ac:dyDescent="0.3"/>
    <row r="14" spans="1:5" ht="15" thickBot="1" x14ac:dyDescent="0.35">
      <c r="A14" t="s">
        <v>20</v>
      </c>
    </row>
    <row r="15" spans="1:5" ht="15" thickBot="1" x14ac:dyDescent="0.35">
      <c r="B15" s="4" t="s">
        <v>21</v>
      </c>
      <c r="C15" s="4" t="s">
        <v>22</v>
      </c>
      <c r="D15" s="4" t="s">
        <v>23</v>
      </c>
      <c r="E15" s="4" t="s">
        <v>24</v>
      </c>
    </row>
    <row r="16" spans="1:5" ht="15" thickBot="1" x14ac:dyDescent="0.35">
      <c r="B16" s="3" t="s">
        <v>32</v>
      </c>
      <c r="C16" s="3" t="s">
        <v>6</v>
      </c>
      <c r="D16" s="7">
        <v>2015</v>
      </c>
      <c r="E16" s="7">
        <v>2015</v>
      </c>
    </row>
    <row r="19" spans="1:7" ht="15" thickBot="1" x14ac:dyDescent="0.35">
      <c r="A19" t="s">
        <v>25</v>
      </c>
    </row>
    <row r="20" spans="1:7" ht="15" thickBot="1" x14ac:dyDescent="0.35">
      <c r="B20" s="4" t="s">
        <v>21</v>
      </c>
      <c r="C20" s="4" t="s">
        <v>22</v>
      </c>
      <c r="D20" s="4" t="s">
        <v>23</v>
      </c>
      <c r="E20" s="4" t="s">
        <v>24</v>
      </c>
      <c r="F20" s="4" t="s">
        <v>26</v>
      </c>
    </row>
    <row r="21" spans="1:7" x14ac:dyDescent="0.3">
      <c r="B21" s="12" t="s">
        <v>46</v>
      </c>
      <c r="C21" s="10"/>
      <c r="D21" s="10"/>
      <c r="E21" s="10"/>
      <c r="F21" s="10"/>
    </row>
    <row r="22" spans="1:7" hidden="1" outlineLevel="1" x14ac:dyDescent="0.3">
      <c r="B22" s="6" t="s">
        <v>33</v>
      </c>
      <c r="C22" s="6" t="s">
        <v>2</v>
      </c>
      <c r="D22" s="8">
        <v>19</v>
      </c>
      <c r="E22" s="8">
        <v>19</v>
      </c>
      <c r="F22" s="6" t="s">
        <v>26</v>
      </c>
    </row>
    <row r="23" spans="1:7" hidden="1" outlineLevel="1" x14ac:dyDescent="0.3">
      <c r="B23" s="6" t="s">
        <v>34</v>
      </c>
      <c r="C23" s="6" t="s">
        <v>3</v>
      </c>
      <c r="D23" s="8">
        <v>42</v>
      </c>
      <c r="E23" s="8">
        <v>42</v>
      </c>
      <c r="F23" s="6" t="s">
        <v>26</v>
      </c>
    </row>
    <row r="24" spans="1:7" hidden="1" outlineLevel="1" x14ac:dyDescent="0.3">
      <c r="B24" s="6" t="s">
        <v>35</v>
      </c>
      <c r="C24" s="6" t="s">
        <v>4</v>
      </c>
      <c r="D24" s="8">
        <v>0</v>
      </c>
      <c r="E24" s="8">
        <v>0</v>
      </c>
      <c r="F24" s="6" t="s">
        <v>26</v>
      </c>
    </row>
    <row r="25" spans="1:7" ht="15" hidden="1" outlineLevel="1" thickBot="1" x14ac:dyDescent="0.35">
      <c r="B25" s="3" t="s">
        <v>36</v>
      </c>
      <c r="C25" s="3" t="s">
        <v>5</v>
      </c>
      <c r="D25" s="7">
        <v>15</v>
      </c>
      <c r="E25" s="7">
        <v>15</v>
      </c>
      <c r="F25" s="3" t="s">
        <v>26</v>
      </c>
    </row>
    <row r="26" spans="1:7" collapsed="1" x14ac:dyDescent="0.3">
      <c r="B26" s="5"/>
      <c r="C26" s="5"/>
      <c r="D26" s="11"/>
      <c r="E26" s="11"/>
      <c r="F26" s="5"/>
    </row>
    <row r="29" spans="1:7" ht="15" thickBot="1" x14ac:dyDescent="0.35">
      <c r="A29" t="s">
        <v>27</v>
      </c>
    </row>
    <row r="30" spans="1:7" ht="15" thickBot="1" x14ac:dyDescent="0.35">
      <c r="B30" s="4" t="s">
        <v>21</v>
      </c>
      <c r="C30" s="4" t="s">
        <v>22</v>
      </c>
      <c r="D30" s="4" t="s">
        <v>28</v>
      </c>
      <c r="E30" s="4" t="s">
        <v>29</v>
      </c>
      <c r="F30" s="4" t="s">
        <v>30</v>
      </c>
      <c r="G30" s="4" t="s">
        <v>31</v>
      </c>
    </row>
    <row r="31" spans="1:7" x14ac:dyDescent="0.3">
      <c r="B31" s="6" t="s">
        <v>37</v>
      </c>
      <c r="C31" s="6" t="s">
        <v>6</v>
      </c>
      <c r="D31" s="9">
        <v>125</v>
      </c>
      <c r="E31" s="6" t="s">
        <v>38</v>
      </c>
      <c r="F31" s="6" t="s">
        <v>39</v>
      </c>
      <c r="G31" s="6">
        <v>5</v>
      </c>
    </row>
    <row r="32" spans="1:7" x14ac:dyDescent="0.3">
      <c r="B32" s="6" t="s">
        <v>40</v>
      </c>
      <c r="C32" s="6" t="s">
        <v>6</v>
      </c>
      <c r="D32" s="9">
        <v>118</v>
      </c>
      <c r="E32" s="6" t="s">
        <v>41</v>
      </c>
      <c r="F32" s="6" t="s">
        <v>39</v>
      </c>
      <c r="G32" s="6">
        <v>2</v>
      </c>
    </row>
    <row r="33" spans="2:7" x14ac:dyDescent="0.3">
      <c r="B33" s="6" t="s">
        <v>42</v>
      </c>
      <c r="C33" s="6" t="s">
        <v>6</v>
      </c>
      <c r="D33" s="9">
        <v>160</v>
      </c>
      <c r="E33" s="6" t="s">
        <v>43</v>
      </c>
      <c r="F33" s="6" t="s">
        <v>44</v>
      </c>
      <c r="G33" s="6">
        <v>0</v>
      </c>
    </row>
    <row r="34" spans="2:7" ht="15" thickBot="1" x14ac:dyDescent="0.35">
      <c r="B34" s="3" t="s">
        <v>45</v>
      </c>
      <c r="C34" s="3"/>
      <c r="D34" s="3"/>
      <c r="E34" s="3"/>
      <c r="F34" s="3"/>
      <c r="G3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zoomScale="115" workbookViewId="0">
      <selection activeCell="F4" sqref="F4"/>
    </sheetView>
  </sheetViews>
  <sheetFormatPr defaultRowHeight="14.4" x14ac:dyDescent="0.3"/>
  <cols>
    <col min="1" max="1" width="8.88671875" customWidth="1"/>
  </cols>
  <sheetData>
    <row r="1" spans="1:7" x14ac:dyDescent="0.3">
      <c r="A1" s="13" t="s">
        <v>47</v>
      </c>
      <c r="B1" s="13"/>
      <c r="C1" s="13"/>
      <c r="D1" s="13"/>
    </row>
    <row r="3" spans="1:7" x14ac:dyDescent="0.3">
      <c r="A3" s="13" t="s">
        <v>1</v>
      </c>
      <c r="B3" s="13"/>
    </row>
    <row r="4" spans="1:7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78</v>
      </c>
    </row>
    <row r="5" spans="1:7" x14ac:dyDescent="0.3">
      <c r="A5" s="1">
        <v>1</v>
      </c>
      <c r="B5" s="1">
        <v>1</v>
      </c>
      <c r="C5" s="1">
        <v>14</v>
      </c>
      <c r="D5" s="1">
        <v>0</v>
      </c>
      <c r="E5" s="1">
        <f>A6*A5+B6*B5+C6*C5+D6*D5</f>
        <v>1810</v>
      </c>
    </row>
    <row r="6" spans="1:7" x14ac:dyDescent="0.3">
      <c r="A6">
        <v>60</v>
      </c>
      <c r="B6">
        <v>70</v>
      </c>
      <c r="C6">
        <v>120</v>
      </c>
      <c r="D6">
        <v>130</v>
      </c>
    </row>
    <row r="7" spans="1:7" x14ac:dyDescent="0.3">
      <c r="A7" s="13" t="s">
        <v>7</v>
      </c>
      <c r="B7" s="13"/>
      <c r="C7" s="13"/>
      <c r="D7" s="13"/>
    </row>
    <row r="8" spans="1:7" x14ac:dyDescent="0.3">
      <c r="A8">
        <v>1</v>
      </c>
      <c r="B8">
        <v>1</v>
      </c>
      <c r="C8">
        <v>1</v>
      </c>
      <c r="D8">
        <v>1</v>
      </c>
      <c r="E8">
        <f>SUMPRODUCT($A$5:$D$5,A8:D8)</f>
        <v>16</v>
      </c>
      <c r="F8" t="s">
        <v>8</v>
      </c>
      <c r="G8">
        <v>16</v>
      </c>
    </row>
    <row r="9" spans="1:7" x14ac:dyDescent="0.3">
      <c r="A9">
        <v>6</v>
      </c>
      <c r="B9">
        <v>5</v>
      </c>
      <c r="C9">
        <v>4</v>
      </c>
      <c r="D9">
        <v>3</v>
      </c>
      <c r="E9">
        <f>SUMPRODUCT($A$5:$D$5,A9:D9)</f>
        <v>67</v>
      </c>
      <c r="F9" t="s">
        <v>8</v>
      </c>
      <c r="G9">
        <v>110</v>
      </c>
    </row>
    <row r="10" spans="1:7" x14ac:dyDescent="0.3">
      <c r="A10">
        <v>4</v>
      </c>
      <c r="B10">
        <v>6</v>
      </c>
      <c r="C10">
        <v>10</v>
      </c>
      <c r="D10">
        <v>13</v>
      </c>
      <c r="E10">
        <f>SUMPRODUCT($A$5:$D$5,A10:D10)</f>
        <v>150</v>
      </c>
      <c r="F10" t="s">
        <v>8</v>
      </c>
      <c r="G10">
        <v>150</v>
      </c>
    </row>
  </sheetData>
  <mergeCells count="3">
    <mergeCell ref="A1:D1"/>
    <mergeCell ref="A3:B3"/>
    <mergeCell ref="A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7F64-6AAD-4140-9FEA-2AF2F63591AF}">
  <dimension ref="A1:G34"/>
  <sheetViews>
    <sheetView showGridLines="0" workbookViewId="0"/>
  </sheetViews>
  <sheetFormatPr defaultRowHeight="14.4" outlineLevelRow="1" x14ac:dyDescent="0.3"/>
  <cols>
    <col min="1" max="1" width="2.33203125" customWidth="1"/>
    <col min="2" max="2" width="24.88671875" bestFit="1" customWidth="1"/>
    <col min="3" max="3" width="4.77734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2" t="s">
        <v>9</v>
      </c>
    </row>
    <row r="2" spans="1:5" x14ac:dyDescent="0.3">
      <c r="A2" s="2" t="s">
        <v>48</v>
      </c>
    </row>
    <row r="3" spans="1:5" x14ac:dyDescent="0.3">
      <c r="A3" s="2" t="s">
        <v>49</v>
      </c>
    </row>
    <row r="4" spans="1:5" x14ac:dyDescent="0.3">
      <c r="A4" s="2" t="s">
        <v>50</v>
      </c>
    </row>
    <row r="5" spans="1:5" x14ac:dyDescent="0.3">
      <c r="A5" s="2" t="s">
        <v>13</v>
      </c>
    </row>
    <row r="6" spans="1:5" hidden="1" outlineLevel="1" x14ac:dyDescent="0.3">
      <c r="A6" s="2"/>
      <c r="B6" t="s">
        <v>14</v>
      </c>
    </row>
    <row r="7" spans="1:5" hidden="1" outlineLevel="1" x14ac:dyDescent="0.3">
      <c r="A7" s="2"/>
      <c r="B7" t="s">
        <v>51</v>
      </c>
    </row>
    <row r="8" spans="1:5" hidden="1" outlineLevel="1" x14ac:dyDescent="0.3">
      <c r="A8" s="2"/>
      <c r="B8" t="s">
        <v>52</v>
      </c>
    </row>
    <row r="9" spans="1:5" collapsed="1" x14ac:dyDescent="0.3">
      <c r="A9" s="2" t="s">
        <v>17</v>
      </c>
    </row>
    <row r="10" spans="1:5" hidden="1" outlineLevel="1" x14ac:dyDescent="0.3">
      <c r="B10" t="s">
        <v>18</v>
      </c>
    </row>
    <row r="11" spans="1:5" hidden="1" outlineLevel="1" x14ac:dyDescent="0.3">
      <c r="B11" t="s">
        <v>19</v>
      </c>
    </row>
    <row r="12" spans="1:5" collapsed="1" x14ac:dyDescent="0.3"/>
    <row r="14" spans="1:5" ht="15" thickBot="1" x14ac:dyDescent="0.35">
      <c r="A14" t="s">
        <v>20</v>
      </c>
    </row>
    <row r="15" spans="1:5" ht="15" thickBot="1" x14ac:dyDescent="0.35">
      <c r="B15" s="4" t="s">
        <v>21</v>
      </c>
      <c r="C15" s="4" t="s">
        <v>22</v>
      </c>
      <c r="D15" s="4" t="s">
        <v>23</v>
      </c>
      <c r="E15" s="4" t="s">
        <v>24</v>
      </c>
    </row>
    <row r="16" spans="1:5" ht="15" thickBot="1" x14ac:dyDescent="0.35">
      <c r="B16" s="3" t="s">
        <v>32</v>
      </c>
      <c r="C16" s="3" t="s">
        <v>6</v>
      </c>
      <c r="D16" s="7">
        <v>1810</v>
      </c>
      <c r="E16" s="7">
        <v>1810</v>
      </c>
    </row>
    <row r="19" spans="1:7" ht="15" thickBot="1" x14ac:dyDescent="0.35">
      <c r="A19" t="s">
        <v>25</v>
      </c>
    </row>
    <row r="20" spans="1:7" ht="15" thickBot="1" x14ac:dyDescent="0.35">
      <c r="B20" s="4" t="s">
        <v>21</v>
      </c>
      <c r="C20" s="4" t="s">
        <v>22</v>
      </c>
      <c r="D20" s="4" t="s">
        <v>23</v>
      </c>
      <c r="E20" s="4" t="s">
        <v>24</v>
      </c>
      <c r="F20" s="4" t="s">
        <v>26</v>
      </c>
    </row>
    <row r="21" spans="1:7" x14ac:dyDescent="0.3">
      <c r="B21" s="12" t="s">
        <v>46</v>
      </c>
      <c r="C21" s="10"/>
      <c r="D21" s="10"/>
      <c r="E21" s="10"/>
      <c r="F21" s="10"/>
    </row>
    <row r="22" spans="1:7" hidden="1" outlineLevel="1" x14ac:dyDescent="0.3">
      <c r="B22" s="6" t="s">
        <v>33</v>
      </c>
      <c r="C22" s="6" t="s">
        <v>2</v>
      </c>
      <c r="D22" s="8">
        <v>1</v>
      </c>
      <c r="E22" s="8">
        <v>1</v>
      </c>
      <c r="F22" s="6" t="s">
        <v>26</v>
      </c>
    </row>
    <row r="23" spans="1:7" hidden="1" outlineLevel="1" x14ac:dyDescent="0.3">
      <c r="B23" s="6" t="s">
        <v>34</v>
      </c>
      <c r="C23" s="6" t="s">
        <v>3</v>
      </c>
      <c r="D23" s="8">
        <v>1</v>
      </c>
      <c r="E23" s="8">
        <v>1</v>
      </c>
      <c r="F23" s="6" t="s">
        <v>26</v>
      </c>
    </row>
    <row r="24" spans="1:7" hidden="1" outlineLevel="1" x14ac:dyDescent="0.3">
      <c r="B24" s="6" t="s">
        <v>35</v>
      </c>
      <c r="C24" s="6" t="s">
        <v>4</v>
      </c>
      <c r="D24" s="8">
        <v>14</v>
      </c>
      <c r="E24" s="8">
        <v>14</v>
      </c>
      <c r="F24" s="6" t="s">
        <v>26</v>
      </c>
    </row>
    <row r="25" spans="1:7" ht="15" hidden="1" outlineLevel="1" thickBot="1" x14ac:dyDescent="0.35">
      <c r="B25" s="3" t="s">
        <v>36</v>
      </c>
      <c r="C25" s="3" t="s">
        <v>5</v>
      </c>
      <c r="D25" s="7">
        <v>0</v>
      </c>
      <c r="E25" s="7">
        <v>0</v>
      </c>
      <c r="F25" s="3" t="s">
        <v>26</v>
      </c>
    </row>
    <row r="26" spans="1:7" collapsed="1" x14ac:dyDescent="0.3">
      <c r="B26" s="5"/>
      <c r="C26" s="5"/>
      <c r="D26" s="11"/>
      <c r="E26" s="11"/>
      <c r="F26" s="5"/>
    </row>
    <row r="29" spans="1:7" ht="15" thickBot="1" x14ac:dyDescent="0.35">
      <c r="A29" t="s">
        <v>27</v>
      </c>
    </row>
    <row r="30" spans="1:7" ht="15" thickBot="1" x14ac:dyDescent="0.35">
      <c r="B30" s="4" t="s">
        <v>21</v>
      </c>
      <c r="C30" s="4" t="s">
        <v>22</v>
      </c>
      <c r="D30" s="4" t="s">
        <v>28</v>
      </c>
      <c r="E30" s="4" t="s">
        <v>29</v>
      </c>
      <c r="F30" s="4" t="s">
        <v>30</v>
      </c>
      <c r="G30" s="4" t="s">
        <v>31</v>
      </c>
    </row>
    <row r="31" spans="1:7" x14ac:dyDescent="0.3">
      <c r="B31" s="6" t="s">
        <v>37</v>
      </c>
      <c r="C31" s="6" t="s">
        <v>6</v>
      </c>
      <c r="D31" s="9">
        <v>150</v>
      </c>
      <c r="E31" s="6" t="s">
        <v>38</v>
      </c>
      <c r="F31" s="6" t="s">
        <v>44</v>
      </c>
      <c r="G31" s="6">
        <v>0</v>
      </c>
    </row>
    <row r="32" spans="1:7" x14ac:dyDescent="0.3">
      <c r="B32" s="6" t="s">
        <v>40</v>
      </c>
      <c r="C32" s="6" t="s">
        <v>6</v>
      </c>
      <c r="D32" s="9">
        <v>16</v>
      </c>
      <c r="E32" s="6" t="s">
        <v>41</v>
      </c>
      <c r="F32" s="6" t="s">
        <v>44</v>
      </c>
      <c r="G32" s="6">
        <v>0</v>
      </c>
    </row>
    <row r="33" spans="2:7" x14ac:dyDescent="0.3">
      <c r="B33" s="6" t="s">
        <v>42</v>
      </c>
      <c r="C33" s="6" t="s">
        <v>6</v>
      </c>
      <c r="D33" s="9">
        <v>67</v>
      </c>
      <c r="E33" s="6" t="s">
        <v>43</v>
      </c>
      <c r="F33" s="6" t="s">
        <v>39</v>
      </c>
      <c r="G33" s="6">
        <v>43</v>
      </c>
    </row>
    <row r="34" spans="2:7" ht="15" thickBot="1" x14ac:dyDescent="0.35">
      <c r="B34" s="3" t="s">
        <v>45</v>
      </c>
      <c r="C34" s="3"/>
      <c r="D34" s="3"/>
      <c r="E34" s="3"/>
      <c r="F34" s="3"/>
      <c r="G34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6EF3-81C0-4C00-97B5-17AD5FD0DB34}">
  <dimension ref="A1:F10"/>
  <sheetViews>
    <sheetView workbookViewId="0">
      <selection activeCell="E4" sqref="E4"/>
    </sheetView>
  </sheetViews>
  <sheetFormatPr defaultRowHeight="14.4" x14ac:dyDescent="0.3"/>
  <cols>
    <col min="4" max="4" width="11.21875" customWidth="1"/>
  </cols>
  <sheetData>
    <row r="1" spans="1:6" x14ac:dyDescent="0.3">
      <c r="A1" s="13" t="s">
        <v>53</v>
      </c>
      <c r="B1" s="13"/>
      <c r="C1" s="13"/>
      <c r="D1" s="13"/>
    </row>
    <row r="3" spans="1:6" x14ac:dyDescent="0.3">
      <c r="A3" s="13" t="s">
        <v>1</v>
      </c>
      <c r="B3" s="13"/>
    </row>
    <row r="4" spans="1:6" x14ac:dyDescent="0.3">
      <c r="A4" t="s">
        <v>2</v>
      </c>
      <c r="B4" t="s">
        <v>3</v>
      </c>
      <c r="C4" t="s">
        <v>4</v>
      </c>
      <c r="D4" t="s">
        <v>6</v>
      </c>
      <c r="E4" t="s">
        <v>78</v>
      </c>
    </row>
    <row r="5" spans="1:6" x14ac:dyDescent="0.3">
      <c r="A5" s="1">
        <v>0</v>
      </c>
      <c r="B5" s="1">
        <v>1</v>
      </c>
      <c r="C5" s="1">
        <v>3</v>
      </c>
      <c r="D5" s="1">
        <f>A6*A5+B6*B5+C6*C5</f>
        <v>5</v>
      </c>
    </row>
    <row r="6" spans="1:6" x14ac:dyDescent="0.3">
      <c r="A6">
        <v>-2</v>
      </c>
      <c r="B6">
        <v>-1</v>
      </c>
      <c r="C6">
        <v>2</v>
      </c>
    </row>
    <row r="7" spans="1:6" x14ac:dyDescent="0.3">
      <c r="A7" s="13" t="s">
        <v>7</v>
      </c>
      <c r="B7" s="13"/>
      <c r="C7" s="13"/>
      <c r="D7" s="13"/>
    </row>
    <row r="8" spans="1:6" x14ac:dyDescent="0.3">
      <c r="A8">
        <v>-1</v>
      </c>
      <c r="B8">
        <v>-1</v>
      </c>
      <c r="C8">
        <v>3</v>
      </c>
      <c r="D8">
        <f>SUMPRODUCT(A5:C5,A8:C8)</f>
        <v>8</v>
      </c>
      <c r="E8" t="s">
        <v>8</v>
      </c>
      <c r="F8">
        <v>8</v>
      </c>
    </row>
    <row r="9" spans="1:6" x14ac:dyDescent="0.3">
      <c r="A9">
        <v>-1</v>
      </c>
      <c r="B9">
        <v>1</v>
      </c>
      <c r="C9">
        <v>-2</v>
      </c>
      <c r="D9">
        <f>SUMPRODUCT(A5:C5,A9:C9)</f>
        <v>-5</v>
      </c>
      <c r="E9" t="s">
        <v>8</v>
      </c>
      <c r="F9">
        <v>2</v>
      </c>
    </row>
    <row r="10" spans="1:6" x14ac:dyDescent="0.3">
      <c r="A10">
        <v>2</v>
      </c>
      <c r="B10">
        <v>8</v>
      </c>
      <c r="C10">
        <v>-3</v>
      </c>
      <c r="D10">
        <f>SUMPRODUCT(A5:C5,A10:C10)</f>
        <v>-1</v>
      </c>
      <c r="E10" t="s">
        <v>8</v>
      </c>
      <c r="F10">
        <v>1</v>
      </c>
    </row>
  </sheetData>
  <mergeCells count="3">
    <mergeCell ref="A1:D1"/>
    <mergeCell ref="A3:B3"/>
    <mergeCell ref="A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7EF1-EF9B-4048-BA57-DA20D8ED5B6F}">
  <dimension ref="A1:G33"/>
  <sheetViews>
    <sheetView showGridLines="0" workbookViewId="0"/>
  </sheetViews>
  <sheetFormatPr defaultRowHeight="14.4" outlineLevelRow="1" x14ac:dyDescent="0.3"/>
  <cols>
    <col min="1" max="1" width="2.33203125" customWidth="1"/>
    <col min="2" max="2" width="24.77734375" bestFit="1" customWidth="1"/>
    <col min="3" max="3" width="4.77734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2" t="s">
        <v>9</v>
      </c>
    </row>
    <row r="2" spans="1:5" x14ac:dyDescent="0.3">
      <c r="A2" s="2" t="s">
        <v>54</v>
      </c>
    </row>
    <row r="3" spans="1:5" x14ac:dyDescent="0.3">
      <c r="A3" s="2" t="s">
        <v>55</v>
      </c>
    </row>
    <row r="4" spans="1:5" x14ac:dyDescent="0.3">
      <c r="A4" s="2" t="s">
        <v>50</v>
      </c>
    </row>
    <row r="5" spans="1:5" x14ac:dyDescent="0.3">
      <c r="A5" s="2" t="s">
        <v>13</v>
      </c>
    </row>
    <row r="6" spans="1:5" hidden="1" outlineLevel="1" x14ac:dyDescent="0.3">
      <c r="A6" s="2"/>
      <c r="B6" t="s">
        <v>14</v>
      </c>
    </row>
    <row r="7" spans="1:5" hidden="1" outlineLevel="1" x14ac:dyDescent="0.3">
      <c r="A7" s="2"/>
      <c r="B7" t="s">
        <v>56</v>
      </c>
    </row>
    <row r="8" spans="1:5" hidden="1" outlineLevel="1" x14ac:dyDescent="0.3">
      <c r="A8" s="2"/>
      <c r="B8" t="s">
        <v>57</v>
      </c>
    </row>
    <row r="9" spans="1:5" collapsed="1" x14ac:dyDescent="0.3">
      <c r="A9" s="2" t="s">
        <v>17</v>
      </c>
    </row>
    <row r="10" spans="1:5" hidden="1" outlineLevel="1" x14ac:dyDescent="0.3">
      <c r="B10" t="s">
        <v>58</v>
      </c>
    </row>
    <row r="11" spans="1:5" hidden="1" outlineLevel="1" x14ac:dyDescent="0.3">
      <c r="B11" t="s">
        <v>19</v>
      </c>
    </row>
    <row r="12" spans="1:5" collapsed="1" x14ac:dyDescent="0.3"/>
    <row r="14" spans="1:5" ht="15" thickBot="1" x14ac:dyDescent="0.35">
      <c r="A14" t="s">
        <v>20</v>
      </c>
    </row>
    <row r="15" spans="1:5" ht="15" thickBot="1" x14ac:dyDescent="0.35">
      <c r="B15" s="4" t="s">
        <v>21</v>
      </c>
      <c r="C15" s="4" t="s">
        <v>22</v>
      </c>
      <c r="D15" s="4" t="s">
        <v>23</v>
      </c>
      <c r="E15" s="4" t="s">
        <v>24</v>
      </c>
    </row>
    <row r="16" spans="1:5" ht="15" thickBot="1" x14ac:dyDescent="0.35">
      <c r="B16" s="3" t="s">
        <v>36</v>
      </c>
      <c r="C16" s="3" t="s">
        <v>6</v>
      </c>
      <c r="D16" s="7">
        <v>25</v>
      </c>
      <c r="E16" s="7">
        <v>5</v>
      </c>
    </row>
    <row r="19" spans="1:7" ht="15" thickBot="1" x14ac:dyDescent="0.35">
      <c r="A19" t="s">
        <v>25</v>
      </c>
    </row>
    <row r="20" spans="1:7" ht="15" thickBot="1" x14ac:dyDescent="0.35">
      <c r="B20" s="4" t="s">
        <v>21</v>
      </c>
      <c r="C20" s="4" t="s">
        <v>22</v>
      </c>
      <c r="D20" s="4" t="s">
        <v>23</v>
      </c>
      <c r="E20" s="4" t="s">
        <v>24</v>
      </c>
      <c r="F20" s="4" t="s">
        <v>26</v>
      </c>
    </row>
    <row r="21" spans="1:7" x14ac:dyDescent="0.3">
      <c r="B21" s="12" t="s">
        <v>66</v>
      </c>
      <c r="C21" s="10"/>
      <c r="D21" s="10"/>
      <c r="E21" s="10"/>
      <c r="F21" s="10"/>
    </row>
    <row r="22" spans="1:7" hidden="1" outlineLevel="1" x14ac:dyDescent="0.3">
      <c r="B22" s="6" t="s">
        <v>33</v>
      </c>
      <c r="C22" s="6" t="s">
        <v>2</v>
      </c>
      <c r="D22" s="8">
        <v>1</v>
      </c>
      <c r="E22" s="8">
        <v>0</v>
      </c>
      <c r="F22" s="6" t="s">
        <v>26</v>
      </c>
    </row>
    <row r="23" spans="1:7" hidden="1" outlineLevel="1" x14ac:dyDescent="0.3">
      <c r="B23" s="6" t="s">
        <v>34</v>
      </c>
      <c r="C23" s="6" t="s">
        <v>3</v>
      </c>
      <c r="D23" s="8">
        <v>1</v>
      </c>
      <c r="E23" s="8">
        <v>1</v>
      </c>
      <c r="F23" s="6" t="s">
        <v>26</v>
      </c>
    </row>
    <row r="24" spans="1:7" ht="15" hidden="1" outlineLevel="1" thickBot="1" x14ac:dyDescent="0.35">
      <c r="B24" s="3" t="s">
        <v>35</v>
      </c>
      <c r="C24" s="3" t="s">
        <v>4</v>
      </c>
      <c r="D24" s="7">
        <v>14</v>
      </c>
      <c r="E24" s="7">
        <v>3</v>
      </c>
      <c r="F24" s="3" t="s">
        <v>26</v>
      </c>
    </row>
    <row r="25" spans="1:7" collapsed="1" x14ac:dyDescent="0.3">
      <c r="B25" s="5"/>
      <c r="C25" s="5"/>
      <c r="D25" s="11"/>
      <c r="E25" s="11"/>
      <c r="F25" s="5"/>
    </row>
    <row r="28" spans="1:7" ht="15" thickBot="1" x14ac:dyDescent="0.35">
      <c r="A28" t="s">
        <v>27</v>
      </c>
    </row>
    <row r="29" spans="1:7" ht="15" thickBot="1" x14ac:dyDescent="0.35">
      <c r="B29" s="4" t="s">
        <v>21</v>
      </c>
      <c r="C29" s="4" t="s">
        <v>22</v>
      </c>
      <c r="D29" s="4" t="s">
        <v>28</v>
      </c>
      <c r="E29" s="4" t="s">
        <v>29</v>
      </c>
      <c r="F29" s="4" t="s">
        <v>30</v>
      </c>
      <c r="G29" s="4" t="s">
        <v>31</v>
      </c>
    </row>
    <row r="30" spans="1:7" x14ac:dyDescent="0.3">
      <c r="B30" s="6" t="s">
        <v>59</v>
      </c>
      <c r="C30" s="6" t="s">
        <v>6</v>
      </c>
      <c r="D30" s="9">
        <v>-1</v>
      </c>
      <c r="E30" s="6" t="s">
        <v>60</v>
      </c>
      <c r="F30" s="6" t="s">
        <v>39</v>
      </c>
      <c r="G30" s="6">
        <v>2</v>
      </c>
    </row>
    <row r="31" spans="1:7" x14ac:dyDescent="0.3">
      <c r="B31" s="6" t="s">
        <v>61</v>
      </c>
      <c r="C31" s="6" t="s">
        <v>6</v>
      </c>
      <c r="D31" s="9">
        <v>8</v>
      </c>
      <c r="E31" s="6" t="s">
        <v>62</v>
      </c>
      <c r="F31" s="6" t="s">
        <v>44</v>
      </c>
      <c r="G31" s="6">
        <v>0</v>
      </c>
    </row>
    <row r="32" spans="1:7" x14ac:dyDescent="0.3">
      <c r="B32" s="6" t="s">
        <v>63</v>
      </c>
      <c r="C32" s="6" t="s">
        <v>6</v>
      </c>
      <c r="D32" s="9">
        <v>-5</v>
      </c>
      <c r="E32" s="6" t="s">
        <v>64</v>
      </c>
      <c r="F32" s="6" t="s">
        <v>39</v>
      </c>
      <c r="G32" s="6">
        <v>7</v>
      </c>
    </row>
    <row r="33" spans="2:7" ht="15" thickBot="1" x14ac:dyDescent="0.35">
      <c r="B33" s="3" t="s">
        <v>65</v>
      </c>
      <c r="C33" s="3"/>
      <c r="D33" s="3"/>
      <c r="E33" s="3"/>
      <c r="F33" s="3"/>
      <c r="G3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94CB-086D-48D5-B818-53B5644F9AF2}">
  <dimension ref="A1:F10"/>
  <sheetViews>
    <sheetView workbookViewId="0">
      <selection activeCell="E4" sqref="E4"/>
    </sheetView>
  </sheetViews>
  <sheetFormatPr defaultRowHeight="14.4" x14ac:dyDescent="0.3"/>
  <sheetData>
    <row r="1" spans="1:6" x14ac:dyDescent="0.3">
      <c r="A1" s="13" t="s">
        <v>67</v>
      </c>
      <c r="B1" s="13"/>
      <c r="C1" s="13"/>
      <c r="D1" s="13"/>
    </row>
    <row r="3" spans="1:6" x14ac:dyDescent="0.3">
      <c r="A3" s="13" t="s">
        <v>1</v>
      </c>
      <c r="B3" s="13"/>
    </row>
    <row r="4" spans="1:6" x14ac:dyDescent="0.3">
      <c r="A4" t="s">
        <v>2</v>
      </c>
      <c r="B4" t="s">
        <v>3</v>
      </c>
      <c r="C4" t="s">
        <v>4</v>
      </c>
      <c r="D4" t="s">
        <v>6</v>
      </c>
      <c r="E4" t="s">
        <v>79</v>
      </c>
    </row>
    <row r="5" spans="1:6" x14ac:dyDescent="0.3">
      <c r="A5" s="1">
        <v>0</v>
      </c>
      <c r="B5" s="1">
        <v>0</v>
      </c>
      <c r="C5" s="1">
        <v>4</v>
      </c>
      <c r="D5" s="1">
        <f>A6*A5+B6*B5+C6*C5</f>
        <v>4</v>
      </c>
    </row>
    <row r="6" spans="1:6" x14ac:dyDescent="0.3">
      <c r="A6">
        <v>3</v>
      </c>
      <c r="B6">
        <v>2</v>
      </c>
      <c r="C6">
        <v>1</v>
      </c>
    </row>
    <row r="7" spans="1:6" x14ac:dyDescent="0.3">
      <c r="A7" s="13" t="s">
        <v>7</v>
      </c>
      <c r="B7" s="13"/>
      <c r="C7" s="13"/>
      <c r="D7" s="13"/>
    </row>
    <row r="8" spans="1:6" x14ac:dyDescent="0.3">
      <c r="A8">
        <v>0</v>
      </c>
      <c r="B8">
        <v>1</v>
      </c>
      <c r="C8">
        <v>1</v>
      </c>
      <c r="D8">
        <f>SUMPRODUCT(A5:C5,A8:C8)</f>
        <v>4</v>
      </c>
      <c r="E8" t="s">
        <v>77</v>
      </c>
      <c r="F8">
        <v>4</v>
      </c>
    </row>
    <row r="9" spans="1:6" x14ac:dyDescent="0.3">
      <c r="A9">
        <v>2</v>
      </c>
      <c r="B9">
        <v>1</v>
      </c>
      <c r="C9">
        <v>2</v>
      </c>
      <c r="D9">
        <f>SUMPRODUCT(A5:C5,A9:C9)</f>
        <v>8</v>
      </c>
      <c r="E9" t="s">
        <v>77</v>
      </c>
      <c r="F9">
        <v>6</v>
      </c>
    </row>
    <row r="10" spans="1:6" x14ac:dyDescent="0.3">
      <c r="A10">
        <v>2</v>
      </c>
      <c r="B10">
        <v>-1</v>
      </c>
      <c r="C10">
        <v>2</v>
      </c>
      <c r="D10">
        <f>SUMPRODUCT(A5:C5,A10:C10)</f>
        <v>8</v>
      </c>
      <c r="E10" t="s">
        <v>77</v>
      </c>
      <c r="F10">
        <v>2</v>
      </c>
    </row>
  </sheetData>
  <mergeCells count="3">
    <mergeCell ref="A1:D1"/>
    <mergeCell ref="A3:B3"/>
    <mergeCell ref="A7:D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C83F-2331-4A06-BAEA-E1530AFDF5CB}">
  <dimension ref="A1:G33"/>
  <sheetViews>
    <sheetView showGridLines="0" tabSelected="1" workbookViewId="0">
      <selection activeCell="J30" sqref="J30"/>
    </sheetView>
  </sheetViews>
  <sheetFormatPr defaultRowHeight="14.4" outlineLevelRow="1" x14ac:dyDescent="0.3"/>
  <cols>
    <col min="1" max="1" width="2.33203125" customWidth="1"/>
    <col min="2" max="2" width="24.77734375" bestFit="1" customWidth="1"/>
    <col min="3" max="3" width="4.77734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2" t="s">
        <v>9</v>
      </c>
    </row>
    <row r="2" spans="1:5" x14ac:dyDescent="0.3">
      <c r="A2" s="2" t="s">
        <v>68</v>
      </c>
    </row>
    <row r="3" spans="1:5" x14ac:dyDescent="0.3">
      <c r="A3" s="2" t="s">
        <v>69</v>
      </c>
    </row>
    <row r="4" spans="1:5" x14ac:dyDescent="0.3">
      <c r="A4" s="2" t="s">
        <v>50</v>
      </c>
    </row>
    <row r="5" spans="1:5" x14ac:dyDescent="0.3">
      <c r="A5" s="2" t="s">
        <v>13</v>
      </c>
    </row>
    <row r="6" spans="1:5" hidden="1" outlineLevel="1" x14ac:dyDescent="0.3">
      <c r="A6" s="2"/>
      <c r="B6" t="s">
        <v>70</v>
      </c>
    </row>
    <row r="7" spans="1:5" hidden="1" outlineLevel="1" x14ac:dyDescent="0.3">
      <c r="A7" s="2"/>
      <c r="B7" t="s">
        <v>56</v>
      </c>
    </row>
    <row r="8" spans="1:5" hidden="1" outlineLevel="1" x14ac:dyDescent="0.3">
      <c r="A8" s="2"/>
      <c r="B8" t="s">
        <v>71</v>
      </c>
    </row>
    <row r="9" spans="1:5" collapsed="1" x14ac:dyDescent="0.3">
      <c r="A9" s="2" t="s">
        <v>17</v>
      </c>
    </row>
    <row r="10" spans="1:5" hidden="1" outlineLevel="1" x14ac:dyDescent="0.3">
      <c r="B10" t="s">
        <v>58</v>
      </c>
    </row>
    <row r="11" spans="1:5" hidden="1" outlineLevel="1" x14ac:dyDescent="0.3">
      <c r="B11" t="s">
        <v>72</v>
      </c>
    </row>
    <row r="12" spans="1:5" hidden="1" outlineLevel="1" x14ac:dyDescent="0.3">
      <c r="B12" t="s">
        <v>19</v>
      </c>
    </row>
    <row r="13" spans="1:5" collapsed="1" x14ac:dyDescent="0.3"/>
    <row r="14" spans="1:5" ht="15" thickBot="1" x14ac:dyDescent="0.35">
      <c r="A14" t="s">
        <v>73</v>
      </c>
    </row>
    <row r="15" spans="1:5" ht="15" thickBot="1" x14ac:dyDescent="0.35">
      <c r="B15" s="4" t="s">
        <v>21</v>
      </c>
      <c r="C15" s="4" t="s">
        <v>22</v>
      </c>
      <c r="D15" s="4" t="s">
        <v>23</v>
      </c>
      <c r="E15" s="4" t="s">
        <v>24</v>
      </c>
    </row>
    <row r="16" spans="1:5" ht="15" thickBot="1" x14ac:dyDescent="0.35">
      <c r="B16" s="3" t="s">
        <v>36</v>
      </c>
      <c r="C16" s="3" t="s">
        <v>6</v>
      </c>
      <c r="D16" s="7">
        <v>5</v>
      </c>
      <c r="E16" s="7">
        <v>4</v>
      </c>
    </row>
    <row r="19" spans="1:7" ht="15" thickBot="1" x14ac:dyDescent="0.35">
      <c r="A19" t="s">
        <v>25</v>
      </c>
    </row>
    <row r="20" spans="1:7" ht="15" thickBot="1" x14ac:dyDescent="0.35">
      <c r="B20" s="4" t="s">
        <v>21</v>
      </c>
      <c r="C20" s="4" t="s">
        <v>22</v>
      </c>
      <c r="D20" s="4" t="s">
        <v>23</v>
      </c>
      <c r="E20" s="4" t="s">
        <v>24</v>
      </c>
      <c r="F20" s="4" t="s">
        <v>26</v>
      </c>
    </row>
    <row r="21" spans="1:7" x14ac:dyDescent="0.3">
      <c r="B21" s="12" t="s">
        <v>66</v>
      </c>
      <c r="C21" s="10"/>
      <c r="D21" s="10"/>
      <c r="E21" s="10"/>
      <c r="F21" s="10"/>
    </row>
    <row r="22" spans="1:7" hidden="1" outlineLevel="1" x14ac:dyDescent="0.3">
      <c r="B22" s="6" t="s">
        <v>33</v>
      </c>
      <c r="C22" s="6" t="s">
        <v>2</v>
      </c>
      <c r="D22" s="8">
        <v>0</v>
      </c>
      <c r="E22" s="8">
        <v>0</v>
      </c>
      <c r="F22" s="6" t="s">
        <v>26</v>
      </c>
    </row>
    <row r="23" spans="1:7" hidden="1" outlineLevel="1" x14ac:dyDescent="0.3">
      <c r="B23" s="6" t="s">
        <v>34</v>
      </c>
      <c r="C23" s="6" t="s">
        <v>3</v>
      </c>
      <c r="D23" s="8">
        <v>1</v>
      </c>
      <c r="E23" s="8">
        <v>0</v>
      </c>
      <c r="F23" s="6" t="s">
        <v>26</v>
      </c>
    </row>
    <row r="24" spans="1:7" ht="15" hidden="1" outlineLevel="1" thickBot="1" x14ac:dyDescent="0.35">
      <c r="B24" s="3" t="s">
        <v>35</v>
      </c>
      <c r="C24" s="3" t="s">
        <v>4</v>
      </c>
      <c r="D24" s="7">
        <v>3</v>
      </c>
      <c r="E24" s="7">
        <v>4</v>
      </c>
      <c r="F24" s="3" t="s">
        <v>26</v>
      </c>
    </row>
    <row r="25" spans="1:7" collapsed="1" x14ac:dyDescent="0.3">
      <c r="B25" s="5"/>
      <c r="C25" s="5"/>
      <c r="D25" s="11"/>
      <c r="E25" s="11"/>
      <c r="F25" s="5"/>
    </row>
    <row r="28" spans="1:7" ht="15" thickBot="1" x14ac:dyDescent="0.35">
      <c r="A28" t="s">
        <v>27</v>
      </c>
    </row>
    <row r="29" spans="1:7" ht="15" thickBot="1" x14ac:dyDescent="0.35">
      <c r="B29" s="4" t="s">
        <v>21</v>
      </c>
      <c r="C29" s="4" t="s">
        <v>22</v>
      </c>
      <c r="D29" s="4" t="s">
        <v>28</v>
      </c>
      <c r="E29" s="4" t="s">
        <v>29</v>
      </c>
      <c r="F29" s="4" t="s">
        <v>30</v>
      </c>
      <c r="G29" s="4" t="s">
        <v>31</v>
      </c>
    </row>
    <row r="30" spans="1:7" x14ac:dyDescent="0.3">
      <c r="B30" s="6" t="s">
        <v>59</v>
      </c>
      <c r="C30" s="6" t="s">
        <v>6</v>
      </c>
      <c r="D30" s="9">
        <v>8</v>
      </c>
      <c r="E30" s="6" t="s">
        <v>74</v>
      </c>
      <c r="F30" s="6" t="s">
        <v>39</v>
      </c>
      <c r="G30" s="9">
        <v>6</v>
      </c>
    </row>
    <row r="31" spans="1:7" x14ac:dyDescent="0.3">
      <c r="B31" s="6" t="s">
        <v>61</v>
      </c>
      <c r="C31" s="6" t="s">
        <v>6</v>
      </c>
      <c r="D31" s="9">
        <v>4</v>
      </c>
      <c r="E31" s="6" t="s">
        <v>75</v>
      </c>
      <c r="F31" s="6" t="s">
        <v>44</v>
      </c>
      <c r="G31" s="9">
        <v>0</v>
      </c>
    </row>
    <row r="32" spans="1:7" x14ac:dyDescent="0.3">
      <c r="B32" s="6" t="s">
        <v>63</v>
      </c>
      <c r="C32" s="6" t="s">
        <v>6</v>
      </c>
      <c r="D32" s="9">
        <v>8</v>
      </c>
      <c r="E32" s="6" t="s">
        <v>76</v>
      </c>
      <c r="F32" s="6" t="s">
        <v>39</v>
      </c>
      <c r="G32" s="9">
        <v>2</v>
      </c>
    </row>
    <row r="33" spans="2:7" ht="15" thickBot="1" x14ac:dyDescent="0.35">
      <c r="B33" s="3" t="s">
        <v>65</v>
      </c>
      <c r="C33" s="3"/>
      <c r="D33" s="3"/>
      <c r="E33" s="3"/>
      <c r="F33" s="3"/>
      <c r="G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</vt:lpstr>
      <vt:lpstr>Отчет о результатах 1</vt:lpstr>
      <vt:lpstr>2</vt:lpstr>
      <vt:lpstr>Отчет о результатах 2</vt:lpstr>
      <vt:lpstr>3</vt:lpstr>
      <vt:lpstr>Отчет о результатах 3</vt:lpstr>
      <vt:lpstr>4</vt:lpstr>
      <vt:lpstr>Отчет о результатах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Жантай Сартбаев</dc:creator>
  <cp:lastModifiedBy>Жантай Сартбаев</cp:lastModifiedBy>
  <dcterms:created xsi:type="dcterms:W3CDTF">2015-06-05T18:19:34Z</dcterms:created>
  <dcterms:modified xsi:type="dcterms:W3CDTF">2026-02-26T22:37:44Z</dcterms:modified>
</cp:coreProperties>
</file>