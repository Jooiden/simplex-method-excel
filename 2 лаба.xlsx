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624"/>
  <workbookPr/>
  <mc:AlternateContent xmlns:mc="http://schemas.openxmlformats.org/markup-compatibility/2006">
    <mc:Choice Requires="x15">
      <x15ac:absPath xmlns:x15ac="http://schemas.microsoft.com/office/spreadsheetml/2010/11/ac" url="https://d.docs.live.net/d0360a4e9aa2e6a7/Документы/1_МатМет/"/>
    </mc:Choice>
  </mc:AlternateContent>
  <xr:revisionPtr revIDLastSave="3" documentId="11_AD4DF75460589B3ACB7284F6879F73005BDEDDA7" xr6:coauthVersionLast="45" xr6:coauthVersionMax="45" xr10:uidLastSave="{B2B20C01-C3D4-4175-AE7A-AFFEAD587688}"/>
  <bookViews>
    <workbookView xWindow="0" yWindow="0" windowWidth="13140" windowHeight="12240" firstSheet="6" activeTab="6" xr2:uid="{00000000-000D-0000-FFFF-FFFF00000000}"/>
  </bookViews>
  <sheets>
    <sheet name="Лист1" sheetId="1" r:id="rId1"/>
    <sheet name="Отчет о результатах 1" sheetId="2" r:id="rId2"/>
    <sheet name="Лист3" sheetId="3" r:id="rId3"/>
    <sheet name="Отчет о результатах 2" sheetId="4" r:id="rId4"/>
    <sheet name="Лист5" sheetId="5" r:id="rId5"/>
    <sheet name="Отчет о результатах 3" sheetId="6" r:id="rId6"/>
    <sheet name="Лист7" sheetId="7" r:id="rId7"/>
    <sheet name="Отчет о результатах 5" sheetId="9" r:id="rId8"/>
  </sheets>
  <definedNames>
    <definedName name="solver_adj" localSheetId="0" hidden="1">Лист1!$B$3:$D$3</definedName>
    <definedName name="solver_adj" localSheetId="2" hidden="1">Лист3!$B$3:$E$3</definedName>
    <definedName name="solver_adj" localSheetId="4" hidden="1">Лист5!$B$2:$C$2</definedName>
    <definedName name="solver_adj" localSheetId="6" hidden="1">Лист7!$B$3:$C$3</definedName>
    <definedName name="solver_cvg" localSheetId="0" hidden="1">0.0001</definedName>
    <definedName name="solver_cvg" localSheetId="2" hidden="1">0.0001</definedName>
    <definedName name="solver_cvg" localSheetId="4" hidden="1">0.0001</definedName>
    <definedName name="solver_cvg" localSheetId="6" hidden="1">0.0001</definedName>
    <definedName name="solver_drv" localSheetId="0" hidden="1">1</definedName>
    <definedName name="solver_drv" localSheetId="2" hidden="1">1</definedName>
    <definedName name="solver_drv" localSheetId="4" hidden="1">1</definedName>
    <definedName name="solver_drv" localSheetId="6" hidden="1">2</definedName>
    <definedName name="solver_eng" localSheetId="0" hidden="1">1</definedName>
    <definedName name="solver_eng" localSheetId="2" hidden="1">1</definedName>
    <definedName name="solver_eng" localSheetId="4" hidden="1">2</definedName>
    <definedName name="solver_eng" localSheetId="6" hidden="1">2</definedName>
    <definedName name="solver_est" localSheetId="0" hidden="1">1</definedName>
    <definedName name="solver_est" localSheetId="2" hidden="1">1</definedName>
    <definedName name="solver_est" localSheetId="4" hidden="1">1</definedName>
    <definedName name="solver_est" localSheetId="6" hidden="1">1</definedName>
    <definedName name="solver_itr" localSheetId="0" hidden="1">2147483647</definedName>
    <definedName name="solver_itr" localSheetId="2" hidden="1">2147483647</definedName>
    <definedName name="solver_itr" localSheetId="4" hidden="1">2147483647</definedName>
    <definedName name="solver_itr" localSheetId="6" hidden="1">2147483647</definedName>
    <definedName name="solver_lhs1" localSheetId="0" hidden="1">Лист1!$B$3:$D$3</definedName>
    <definedName name="solver_lhs1" localSheetId="2" hidden="1">Лист3!$B$3:$E$3</definedName>
    <definedName name="solver_lhs1" localSheetId="4" hidden="1">Лист5!$B$6</definedName>
    <definedName name="solver_lhs1" localSheetId="6" hidden="1">Лист7!$F$10</definedName>
    <definedName name="solver_lhs2" localSheetId="0" hidden="1">Лист1!$G$10</definedName>
    <definedName name="solver_lhs2" localSheetId="2" hidden="1">Лист3!$H$10</definedName>
    <definedName name="solver_lhs2" localSheetId="4" hidden="1">Лист5!$B$7</definedName>
    <definedName name="solver_lhs2" localSheetId="6" hidden="1">Лист7!$F$13</definedName>
    <definedName name="solver_lhs3" localSheetId="0" hidden="1">Лист1!$G$8</definedName>
    <definedName name="solver_lhs3" localSheetId="2" hidden="1">Лист3!$H$8</definedName>
    <definedName name="solver_lhs3" localSheetId="4" hidden="1">Лист5!$B$8</definedName>
    <definedName name="solver_lhs3" localSheetId="6" hidden="1">Лист7!$F$8</definedName>
    <definedName name="solver_lhs4" localSheetId="0" hidden="1">Лист1!$G$9</definedName>
    <definedName name="solver_lhs4" localSheetId="2" hidden="1">Лист3!$H$9</definedName>
    <definedName name="solver_lhs4" localSheetId="6" hidden="1">Лист7!$F$11</definedName>
    <definedName name="solver_lhs5" localSheetId="6" hidden="1">Лист7!$F$9</definedName>
    <definedName name="solver_lhs6" localSheetId="6" hidden="1">Лист7!$F$9</definedName>
    <definedName name="solver_lhs7" localSheetId="6" hidden="1">Лист7!$F$9</definedName>
    <definedName name="solver_mip" localSheetId="0" hidden="1">2147483647</definedName>
    <definedName name="solver_mip" localSheetId="2" hidden="1">2147483647</definedName>
    <definedName name="solver_mip" localSheetId="4" hidden="1">2147483647</definedName>
    <definedName name="solver_mip" localSheetId="6" hidden="1">2147483647</definedName>
    <definedName name="solver_mni" localSheetId="0" hidden="1">30</definedName>
    <definedName name="solver_mni" localSheetId="2" hidden="1">30</definedName>
    <definedName name="solver_mni" localSheetId="4" hidden="1">30</definedName>
    <definedName name="solver_mni" localSheetId="6" hidden="1">30</definedName>
    <definedName name="solver_mrt" localSheetId="0" hidden="1">0.075</definedName>
    <definedName name="solver_mrt" localSheetId="2" hidden="1">0.075</definedName>
    <definedName name="solver_mrt" localSheetId="4" hidden="1">0.075</definedName>
    <definedName name="solver_mrt" localSheetId="6" hidden="1">0.075</definedName>
    <definedName name="solver_msl" localSheetId="0" hidden="1">2</definedName>
    <definedName name="solver_msl" localSheetId="2" hidden="1">2</definedName>
    <definedName name="solver_msl" localSheetId="4" hidden="1">2</definedName>
    <definedName name="solver_msl" localSheetId="6" hidden="1">2</definedName>
    <definedName name="solver_neg" localSheetId="0" hidden="1">1</definedName>
    <definedName name="solver_neg" localSheetId="2" hidden="1">1</definedName>
    <definedName name="solver_neg" localSheetId="4" hidden="1">1</definedName>
    <definedName name="solver_neg" localSheetId="6" hidden="1">1</definedName>
    <definedName name="solver_nod" localSheetId="0" hidden="1">2147483647</definedName>
    <definedName name="solver_nod" localSheetId="2" hidden="1">2147483647</definedName>
    <definedName name="solver_nod" localSheetId="4" hidden="1">2147483647</definedName>
    <definedName name="solver_nod" localSheetId="6" hidden="1">2147483647</definedName>
    <definedName name="solver_num" localSheetId="0" hidden="1">4</definedName>
    <definedName name="solver_num" localSheetId="2" hidden="1">4</definedName>
    <definedName name="solver_num" localSheetId="4" hidden="1">3</definedName>
    <definedName name="solver_num" localSheetId="6" hidden="1">6</definedName>
    <definedName name="solver_nwt" localSheetId="0" hidden="1">1</definedName>
    <definedName name="solver_nwt" localSheetId="2" hidden="1">1</definedName>
    <definedName name="solver_nwt" localSheetId="4" hidden="1">1</definedName>
    <definedName name="solver_nwt" localSheetId="6" hidden="1">1</definedName>
    <definedName name="solver_opt" localSheetId="0" hidden="1">Лист1!$F$3</definedName>
    <definedName name="solver_opt" localSheetId="2" hidden="1">Лист3!$G$3</definedName>
    <definedName name="solver_opt" localSheetId="4" hidden="1">Лист5!$A$5</definedName>
    <definedName name="solver_opt" localSheetId="6" hidden="1">Лист7!$H$3</definedName>
    <definedName name="solver_pre" localSheetId="0" hidden="1">0.000001</definedName>
    <definedName name="solver_pre" localSheetId="2" hidden="1">0.000001</definedName>
    <definedName name="solver_pre" localSheetId="4" hidden="1">0.000001</definedName>
    <definedName name="solver_pre" localSheetId="6" hidden="1">0.000001</definedName>
    <definedName name="solver_rbv" localSheetId="0" hidden="1">1</definedName>
    <definedName name="solver_rbv" localSheetId="2" hidden="1">1</definedName>
    <definedName name="solver_rbv" localSheetId="4" hidden="1">1</definedName>
    <definedName name="solver_rbv" localSheetId="6" hidden="1">2</definedName>
    <definedName name="solver_rel1" localSheetId="0" hidden="1">3</definedName>
    <definedName name="solver_rel1" localSheetId="2" hidden="1">3</definedName>
    <definedName name="solver_rel1" localSheetId="4" hidden="1">1</definedName>
    <definedName name="solver_rel1" localSheetId="6" hidden="1">1</definedName>
    <definedName name="solver_rel2" localSheetId="0" hidden="1">1</definedName>
    <definedName name="solver_rel2" localSheetId="2" hidden="1">1</definedName>
    <definedName name="solver_rel2" localSheetId="4" hidden="1">1</definedName>
    <definedName name="solver_rel2" localSheetId="6" hidden="1">3</definedName>
    <definedName name="solver_rel3" localSheetId="0" hidden="1">1</definedName>
    <definedName name="solver_rel3" localSheetId="2" hidden="1">1</definedName>
    <definedName name="solver_rel3" localSheetId="4" hidden="1">1</definedName>
    <definedName name="solver_rel3" localSheetId="6" hidden="1">1</definedName>
    <definedName name="solver_rel4" localSheetId="0" hidden="1">1</definedName>
    <definedName name="solver_rel4" localSheetId="2" hidden="1">1</definedName>
    <definedName name="solver_rel4" localSheetId="6" hidden="1">1</definedName>
    <definedName name="solver_rel5" localSheetId="6" hidden="1">1</definedName>
    <definedName name="solver_rel6" localSheetId="6" hidden="1">1</definedName>
    <definedName name="solver_rel7" localSheetId="6" hidden="1">1</definedName>
    <definedName name="solver_rhs1" localSheetId="0" hidden="1">0</definedName>
    <definedName name="solver_rhs1" localSheetId="2" hidden="1">0</definedName>
    <definedName name="solver_rhs1" localSheetId="4" hidden="1">100</definedName>
    <definedName name="solver_rhs1" localSheetId="6" hidden="1">Лист7!$E$10</definedName>
    <definedName name="solver_rhs2" localSheetId="0" hidden="1">Лист1!$F$10</definedName>
    <definedName name="solver_rhs2" localSheetId="2" hidden="1">Лист3!$G$10</definedName>
    <definedName name="solver_rhs2" localSheetId="4" hidden="1">300</definedName>
    <definedName name="solver_rhs2" localSheetId="6" hidden="1">Лист7!$E$13</definedName>
    <definedName name="solver_rhs3" localSheetId="0" hidden="1">Лист1!$F$8</definedName>
    <definedName name="solver_rhs3" localSheetId="2" hidden="1">Лист3!$G$8</definedName>
    <definedName name="solver_rhs3" localSheetId="4" hidden="1">150</definedName>
    <definedName name="solver_rhs3" localSheetId="6" hidden="1">Лист7!$E$8</definedName>
    <definedName name="solver_rhs4" localSheetId="0" hidden="1">Лист1!$F$9</definedName>
    <definedName name="solver_rhs4" localSheetId="2" hidden="1">Лист3!$G$9</definedName>
    <definedName name="solver_rhs4" localSheetId="6" hidden="1">Лист7!$E$11</definedName>
    <definedName name="solver_rhs5" localSheetId="6" hidden="1">Лист7!$E$9</definedName>
    <definedName name="solver_rhs6" localSheetId="6" hidden="1">Лист7!$E$9</definedName>
    <definedName name="solver_rhs7" localSheetId="6" hidden="1">Лист7!$E$9</definedName>
    <definedName name="solver_rlx" localSheetId="0" hidden="1">2</definedName>
    <definedName name="solver_rlx" localSheetId="2" hidden="1">2</definedName>
    <definedName name="solver_rlx" localSheetId="4" hidden="1">2</definedName>
    <definedName name="solver_rlx" localSheetId="6" hidden="1">2</definedName>
    <definedName name="solver_rsd" localSheetId="0" hidden="1">0</definedName>
    <definedName name="solver_rsd" localSheetId="2" hidden="1">0</definedName>
    <definedName name="solver_rsd" localSheetId="4" hidden="1">0</definedName>
    <definedName name="solver_rsd" localSheetId="6" hidden="1">0</definedName>
    <definedName name="solver_scl" localSheetId="0" hidden="1">1</definedName>
    <definedName name="solver_scl" localSheetId="2" hidden="1">1</definedName>
    <definedName name="solver_scl" localSheetId="4" hidden="1">1</definedName>
    <definedName name="solver_scl" localSheetId="6" hidden="1">2</definedName>
    <definedName name="solver_sho" localSheetId="0" hidden="1">2</definedName>
    <definedName name="solver_sho" localSheetId="2" hidden="1">2</definedName>
    <definedName name="solver_sho" localSheetId="4" hidden="1">2</definedName>
    <definedName name="solver_sho" localSheetId="6" hidden="1">2</definedName>
    <definedName name="solver_ssz" localSheetId="0" hidden="1">100</definedName>
    <definedName name="solver_ssz" localSheetId="2" hidden="1">100</definedName>
    <definedName name="solver_ssz" localSheetId="4" hidden="1">100</definedName>
    <definedName name="solver_ssz" localSheetId="6" hidden="1">100</definedName>
    <definedName name="solver_tim" localSheetId="0" hidden="1">2147483647</definedName>
    <definedName name="solver_tim" localSheetId="2" hidden="1">2147483647</definedName>
    <definedName name="solver_tim" localSheetId="4" hidden="1">2147483647</definedName>
    <definedName name="solver_tim" localSheetId="6" hidden="1">2147483647</definedName>
    <definedName name="solver_tol" localSheetId="0" hidden="1">0.01</definedName>
    <definedName name="solver_tol" localSheetId="2" hidden="1">0.01</definedName>
    <definedName name="solver_tol" localSheetId="4" hidden="1">0.01</definedName>
    <definedName name="solver_tol" localSheetId="6" hidden="1">0.01</definedName>
    <definedName name="solver_typ" localSheetId="0" hidden="1">1</definedName>
    <definedName name="solver_typ" localSheetId="2" hidden="1">1</definedName>
    <definedName name="solver_typ" localSheetId="4" hidden="1">1</definedName>
    <definedName name="solver_typ" localSheetId="6" hidden="1">1</definedName>
    <definedName name="solver_val" localSheetId="0" hidden="1">0</definedName>
    <definedName name="solver_val" localSheetId="2" hidden="1">0</definedName>
    <definedName name="solver_val" localSheetId="4" hidden="1">0</definedName>
    <definedName name="solver_val" localSheetId="6" hidden="1">0</definedName>
    <definedName name="solver_ver" localSheetId="0" hidden="1">3</definedName>
    <definedName name="solver_ver" localSheetId="2" hidden="1">3</definedName>
    <definedName name="solver_ver" localSheetId="4" hidden="1">3</definedName>
    <definedName name="solver_ver" localSheetId="6" hidden="1">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3" i="7" l="1"/>
  <c r="F9" i="7"/>
  <c r="F10" i="7"/>
  <c r="F11" i="7"/>
  <c r="F12" i="7"/>
  <c r="F13" i="7"/>
  <c r="F8" i="7"/>
  <c r="F12" i="5"/>
  <c r="F13" i="5"/>
  <c r="F11" i="5"/>
  <c r="B8" i="5" l="1"/>
  <c r="B7" i="5"/>
  <c r="B6" i="5"/>
  <c r="A5" i="5"/>
  <c r="G3" i="3"/>
  <c r="H9" i="3"/>
  <c r="H10" i="3"/>
  <c r="H8" i="3"/>
  <c r="G9" i="1"/>
  <c r="G10" i="1"/>
  <c r="G8" i="1"/>
  <c r="F3" i="1"/>
</calcChain>
</file>

<file path=xl/sharedStrings.xml><?xml version="1.0" encoding="utf-8"?>
<sst xmlns="http://schemas.openxmlformats.org/spreadsheetml/2006/main" count="329" uniqueCount="130">
  <si>
    <t>Интенсивность</t>
  </si>
  <si>
    <t>X1</t>
  </si>
  <si>
    <t>x2</t>
  </si>
  <si>
    <t>x3</t>
  </si>
  <si>
    <t>max</t>
  </si>
  <si>
    <t>Целевая функция</t>
  </si>
  <si>
    <t>переменные</t>
  </si>
  <si>
    <t>производительность</t>
  </si>
  <si>
    <t>система ограничений</t>
  </si>
  <si>
    <t>x1</t>
  </si>
  <si>
    <t>рабочая сила</t>
  </si>
  <si>
    <t>&lt;=</t>
  </si>
  <si>
    <t>сырье</t>
  </si>
  <si>
    <t>электроэнергия</t>
  </si>
  <si>
    <t>Microsoft Excel 16.0 Отчет о результатах</t>
  </si>
  <si>
    <t>Лист: [лаба 2 сартбаев.xlsx]Лист1</t>
  </si>
  <si>
    <t>Отчет создан: 26.02.2026 22:19:53</t>
  </si>
  <si>
    <t>Результат: Решение найдено. Все ограничения и условия оптимальности выполнены.</t>
  </si>
  <si>
    <t>Модуль поиска решения</t>
  </si>
  <si>
    <t>Модуль: Поиск решения нелинейных задач методом ОПГ</t>
  </si>
  <si>
    <t>Время решения: 0,031 секунд.</t>
  </si>
  <si>
    <t>Число итераций: 0 Число подзадач: 0</t>
  </si>
  <si>
    <t>Параметры поиска решения</t>
  </si>
  <si>
    <t>Максимальное время Без пределов,  Число итераций Без пределов, Precision 0,000001, Использовать автоматическое масштабирование</t>
  </si>
  <si>
    <t xml:space="preserve"> Сходимость 0,0001, Размер совокупности 100, Случайное начальное значение 0, Правые производные, Обязательные границы</t>
  </si>
  <si>
    <t>Максимальное число подзадач Без пределов, Максимальное число целочисленных решений Без пределов, Целочисленное отклонение 1%, Считать неотрицательными</t>
  </si>
  <si>
    <t>Ячейка целевой функции (Максимум)</t>
  </si>
  <si>
    <t>Ячейка</t>
  </si>
  <si>
    <t>Имя</t>
  </si>
  <si>
    <t>Исходное значение</t>
  </si>
  <si>
    <t>Окончательное значение</t>
  </si>
  <si>
    <t>Ячейки переменных</t>
  </si>
  <si>
    <t>Целочисленное</t>
  </si>
  <si>
    <t>Ограничения</t>
  </si>
  <si>
    <t>Значение ячейки</t>
  </si>
  <si>
    <t>Формула</t>
  </si>
  <si>
    <t>Состояние</t>
  </si>
  <si>
    <t>Допуск</t>
  </si>
  <si>
    <t>$F$3</t>
  </si>
  <si>
    <t>переменные Целевая функция</t>
  </si>
  <si>
    <t>$B$3</t>
  </si>
  <si>
    <t>переменные X1</t>
  </si>
  <si>
    <t>Продолжить</t>
  </si>
  <si>
    <t>$C$3</t>
  </si>
  <si>
    <t>переменные x2</t>
  </si>
  <si>
    <t>$D$3</t>
  </si>
  <si>
    <t>переменные x3</t>
  </si>
  <si>
    <t>$G$10</t>
  </si>
  <si>
    <t>&lt;= max</t>
  </si>
  <si>
    <t>$G$10&lt;=$F$10</t>
  </si>
  <si>
    <t>Без привязки</t>
  </si>
  <si>
    <t>$G$8</t>
  </si>
  <si>
    <t>$G$8&lt;=$F$8</t>
  </si>
  <si>
    <t>Привязка</t>
  </si>
  <si>
    <t>$G$9</t>
  </si>
  <si>
    <t>$G$9&lt;=$F$9</t>
  </si>
  <si>
    <t>$B$3&gt;=0</t>
  </si>
  <si>
    <t>$C$3&gt;=0</t>
  </si>
  <si>
    <t>$D$3&gt;=0</t>
  </si>
  <si>
    <t>$B$3:$D$3</t>
  </si>
  <si>
    <t>$B$3:$D$3 &gt;= 0</t>
  </si>
  <si>
    <t>прибыль</t>
  </si>
  <si>
    <t>x4</t>
  </si>
  <si>
    <t>трудовые ресурсы</t>
  </si>
  <si>
    <t>полуфабрикаты</t>
  </si>
  <si>
    <t>станочные оборудование</t>
  </si>
  <si>
    <t>Лист: [лаба 2 сартбаев.xlsx]Лист3</t>
  </si>
  <si>
    <t>Отчет создан: 26.02.2026 22:35:51</t>
  </si>
  <si>
    <t>Время решения: 0,032 секунд.</t>
  </si>
  <si>
    <t>$G$3</t>
  </si>
  <si>
    <t>$E$3</t>
  </si>
  <si>
    <t>переменные x4</t>
  </si>
  <si>
    <t>$H$10</t>
  </si>
  <si>
    <t>$H$10&lt;=$G$10</t>
  </si>
  <si>
    <t>$H$8</t>
  </si>
  <si>
    <t>$H$8&lt;=$G$8</t>
  </si>
  <si>
    <t>$H$9</t>
  </si>
  <si>
    <t>$H$9&lt;=$G$9</t>
  </si>
  <si>
    <t>$E$3&gt;=0</t>
  </si>
  <si>
    <t>$B$3:$E$3</t>
  </si>
  <si>
    <t>$B$3:$E$3 &gt;= 0</t>
  </si>
  <si>
    <t>Переменные</t>
  </si>
  <si>
    <t>знач</t>
  </si>
  <si>
    <t>Целевая</t>
  </si>
  <si>
    <t>x1+x2</t>
  </si>
  <si>
    <t>&lt;=100</t>
  </si>
  <si>
    <t>&lt;=300</t>
  </si>
  <si>
    <t>&lt;=150</t>
  </si>
  <si>
    <t>Лист: [лаба 2 сартбаев.xlsx]Лист5</t>
  </si>
  <si>
    <t>Отчет создан: 26.02.2026 22:58:26</t>
  </si>
  <si>
    <t>$A$5</t>
  </si>
  <si>
    <t>$B$2</t>
  </si>
  <si>
    <t>знач X1</t>
  </si>
  <si>
    <t>$C$2</t>
  </si>
  <si>
    <t>знач x2</t>
  </si>
  <si>
    <t>$B$6</t>
  </si>
  <si>
    <t>X1 X1</t>
  </si>
  <si>
    <t>$B$6&lt;=100</t>
  </si>
  <si>
    <t>$B$7</t>
  </si>
  <si>
    <t>x2 X1</t>
  </si>
  <si>
    <t>$B$7&lt;=300</t>
  </si>
  <si>
    <t>$B$8</t>
  </si>
  <si>
    <t>x1+x2 X1</t>
  </si>
  <si>
    <t>$B$8&lt;=150</t>
  </si>
  <si>
    <t>В1</t>
  </si>
  <si>
    <t>В2</t>
  </si>
  <si>
    <t>В3</t>
  </si>
  <si>
    <t>Станок №1</t>
  </si>
  <si>
    <t>Станок №2</t>
  </si>
  <si>
    <t>Станок №3</t>
  </si>
  <si>
    <t>Станок №4</t>
  </si>
  <si>
    <t>Станок №5</t>
  </si>
  <si>
    <t>Лист: [лаба 2 сартбаев.xlsx]Лист7</t>
  </si>
  <si>
    <t>Время решения: 0,047 секунд.</t>
  </si>
  <si>
    <t>Максимальное время Без пределов,  Число итераций Без пределов, Precision 0,000001</t>
  </si>
  <si>
    <t>$H$3</t>
  </si>
  <si>
    <t>$F$10</t>
  </si>
  <si>
    <t>$F$10&lt;=$E$10</t>
  </si>
  <si>
    <t>$F$11</t>
  </si>
  <si>
    <t>$F$11&lt;=$E$11</t>
  </si>
  <si>
    <t>$F$13</t>
  </si>
  <si>
    <t>$F$8</t>
  </si>
  <si>
    <t>$F$8&lt;=$E$8</t>
  </si>
  <si>
    <t>$F$9</t>
  </si>
  <si>
    <t>$F$9&lt;=$E$9</t>
  </si>
  <si>
    <t>&gt;=</t>
  </si>
  <si>
    <t>Отчет создан: 26.02.2026 23:51:51</t>
  </si>
  <si>
    <t>Модуль: Поиск решения лин. задач симплекс-методом</t>
  </si>
  <si>
    <t>Число итераций: 3 Число подзадач: 0</t>
  </si>
  <si>
    <t>$F$13&gt;=$E$13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</si>
</sst>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indexed="18"/>
      <name val="Calibri"/>
      <family val="2"/>
      <scheme val="minor"/>
    </font>
    <font>
      <b/>
      <sz val="11"/>
      <name val="Calibri"/>
      <family val="2"/>
      <charset val="204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0" fillId="0" borderId="2" xfId="0" applyFill="1" applyBorder="1" applyAlignment="1"/>
    <xf numFmtId="0" fontId="2" fillId="0" borderId="1" xfId="0" applyFont="1" applyFill="1" applyBorder="1" applyAlignment="1">
      <alignment horizontal="center"/>
    </xf>
    <xf numFmtId="0" fontId="0" fillId="0" borderId="0" xfId="0" applyFill="1" applyBorder="1" applyAlignment="1"/>
    <xf numFmtId="0" fontId="0" fillId="0" borderId="3" xfId="0" applyFill="1" applyBorder="1" applyAlignment="1"/>
    <xf numFmtId="0" fontId="0" fillId="0" borderId="2" xfId="0" applyNumberFormat="1" applyFill="1" applyBorder="1" applyAlignment="1"/>
    <xf numFmtId="0" fontId="0" fillId="0" borderId="3" xfId="0" applyNumberFormat="1" applyFill="1" applyBorder="1" applyAlignment="1"/>
    <xf numFmtId="0" fontId="0" fillId="0" borderId="0" xfId="0" applyNumberFormat="1" applyFill="1" applyBorder="1" applyAlignment="1"/>
    <xf numFmtId="0" fontId="2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left"/>
    </xf>
    <xf numFmtId="0" fontId="3" fillId="0" borderId="3" xfId="0" applyFont="1" applyFill="1" applyBorder="1" applyAlignment="1">
      <alignment horizontal="left"/>
    </xf>
    <xf numFmtId="0" fontId="0" fillId="0" borderId="4" xfId="0" applyBorder="1"/>
    <xf numFmtId="2" fontId="0" fillId="0" borderId="0" xfId="0" applyNumberFormat="1"/>
    <xf numFmtId="2" fontId="0" fillId="0" borderId="2" xfId="0" applyNumberFormat="1" applyFill="1" applyBorder="1" applyAlignment="1"/>
    <xf numFmtId="2" fontId="0" fillId="0" borderId="3" xfId="0" applyNumberFormat="1" applyFill="1" applyBorder="1" applyAlignment="1"/>
    <xf numFmtId="0" fontId="0" fillId="0" borderId="0" xfId="0" applyAlignment="1">
      <alignment horizontal="center"/>
    </xf>
    <xf numFmtId="0" fontId="0" fillId="0" borderId="5" xfId="0" applyBorder="1"/>
    <xf numFmtId="0" fontId="0" fillId="0" borderId="6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workbookViewId="0"/>
  </sheetViews>
  <sheetFormatPr defaultRowHeight="14.4" x14ac:dyDescent="0.3"/>
  <cols>
    <col min="1" max="1" width="18.77734375" customWidth="1"/>
  </cols>
  <sheetData>
    <row r="1" spans="1:7" x14ac:dyDescent="0.3">
      <c r="A1" s="1">
        <v>1</v>
      </c>
    </row>
    <row r="2" spans="1:7" x14ac:dyDescent="0.3">
      <c r="A2" t="s">
        <v>0</v>
      </c>
      <c r="B2" t="s">
        <v>1</v>
      </c>
      <c r="C2" t="s">
        <v>2</v>
      </c>
      <c r="D2" t="s">
        <v>3</v>
      </c>
      <c r="F2" t="s">
        <v>5</v>
      </c>
    </row>
    <row r="3" spans="1:7" x14ac:dyDescent="0.3">
      <c r="A3" t="s">
        <v>6</v>
      </c>
      <c r="B3">
        <v>59.999999999999993</v>
      </c>
      <c r="C3">
        <v>0</v>
      </c>
      <c r="D3">
        <v>12.000000000000007</v>
      </c>
      <c r="F3">
        <f>SUMPRODUCT(B3:D3,B4:D4)</f>
        <v>23400</v>
      </c>
      <c r="G3" t="s">
        <v>4</v>
      </c>
    </row>
    <row r="4" spans="1:7" x14ac:dyDescent="0.3">
      <c r="A4" t="s">
        <v>7</v>
      </c>
      <c r="B4">
        <v>300</v>
      </c>
      <c r="C4">
        <v>250</v>
      </c>
      <c r="D4">
        <v>450</v>
      </c>
    </row>
    <row r="6" spans="1:7" x14ac:dyDescent="0.3">
      <c r="A6" s="16" t="s">
        <v>8</v>
      </c>
      <c r="B6" s="16"/>
      <c r="C6" s="16"/>
      <c r="D6" s="16"/>
    </row>
    <row r="7" spans="1:7" x14ac:dyDescent="0.3">
      <c r="B7" t="s">
        <v>9</v>
      </c>
      <c r="C7" t="s">
        <v>2</v>
      </c>
      <c r="D7" t="s">
        <v>3</v>
      </c>
    </row>
    <row r="8" spans="1:7" x14ac:dyDescent="0.3">
      <c r="A8" t="s">
        <v>10</v>
      </c>
      <c r="B8">
        <v>15</v>
      </c>
      <c r="C8">
        <v>20</v>
      </c>
      <c r="D8">
        <v>25</v>
      </c>
      <c r="E8" t="s">
        <v>11</v>
      </c>
      <c r="F8">
        <v>1200</v>
      </c>
      <c r="G8">
        <f>SUMPRODUCT(B8:D8,$B$3:$D$3)</f>
        <v>1200</v>
      </c>
    </row>
    <row r="9" spans="1:7" x14ac:dyDescent="0.3">
      <c r="A9" t="s">
        <v>12</v>
      </c>
      <c r="B9">
        <v>2</v>
      </c>
      <c r="C9">
        <v>3</v>
      </c>
      <c r="D9">
        <v>2.5</v>
      </c>
      <c r="E9" t="s">
        <v>11</v>
      </c>
      <c r="F9">
        <v>150</v>
      </c>
      <c r="G9">
        <f t="shared" ref="G9:G10" si="0">SUMPRODUCT(B9:D9,$B$3:$D$3)</f>
        <v>150</v>
      </c>
    </row>
    <row r="10" spans="1:7" x14ac:dyDescent="0.3">
      <c r="A10" t="s">
        <v>13</v>
      </c>
      <c r="B10">
        <v>35</v>
      </c>
      <c r="C10">
        <v>60</v>
      </c>
      <c r="D10">
        <v>60</v>
      </c>
      <c r="E10" t="s">
        <v>11</v>
      </c>
      <c r="F10">
        <v>3000</v>
      </c>
      <c r="G10">
        <f t="shared" si="0"/>
        <v>2820</v>
      </c>
    </row>
  </sheetData>
  <mergeCells count="1">
    <mergeCell ref="A6:D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A0E15-313A-4839-BBEA-22E489786C4C}">
  <dimension ref="A1:G37"/>
  <sheetViews>
    <sheetView showGridLines="0" workbookViewId="0"/>
  </sheetViews>
  <sheetFormatPr defaultRowHeight="14.4" outlineLevelRow="1" x14ac:dyDescent="0.3"/>
  <cols>
    <col min="1" max="1" width="2.33203125" customWidth="1"/>
    <col min="2" max="2" width="7.21875" bestFit="1" customWidth="1"/>
    <col min="3" max="3" width="27.88671875" bestFit="1" customWidth="1"/>
    <col min="4" max="4" width="18.44140625" bestFit="1" customWidth="1"/>
    <col min="5" max="5" width="23.5546875" bestFit="1" customWidth="1"/>
    <col min="6" max="6" width="14.88671875" bestFit="1" customWidth="1"/>
    <col min="7" max="7" width="7.44140625" bestFit="1" customWidth="1"/>
  </cols>
  <sheetData>
    <row r="1" spans="1:5" x14ac:dyDescent="0.3">
      <c r="A1" s="1" t="s">
        <v>14</v>
      </c>
    </row>
    <row r="2" spans="1:5" x14ac:dyDescent="0.3">
      <c r="A2" s="1" t="s">
        <v>15</v>
      </c>
    </row>
    <row r="3" spans="1:5" x14ac:dyDescent="0.3">
      <c r="A3" s="1" t="s">
        <v>16</v>
      </c>
    </row>
    <row r="4" spans="1:5" x14ac:dyDescent="0.3">
      <c r="A4" s="1" t="s">
        <v>17</v>
      </c>
    </row>
    <row r="5" spans="1:5" x14ac:dyDescent="0.3">
      <c r="A5" s="1" t="s">
        <v>18</v>
      </c>
    </row>
    <row r="6" spans="1:5" hidden="1" outlineLevel="1" x14ac:dyDescent="0.3">
      <c r="A6" s="1"/>
      <c r="B6" t="s">
        <v>19</v>
      </c>
    </row>
    <row r="7" spans="1:5" hidden="1" outlineLevel="1" x14ac:dyDescent="0.3">
      <c r="A7" s="1"/>
      <c r="B7" t="s">
        <v>20</v>
      </c>
    </row>
    <row r="8" spans="1:5" hidden="1" outlineLevel="1" x14ac:dyDescent="0.3">
      <c r="A8" s="1"/>
      <c r="B8" t="s">
        <v>21</v>
      </c>
    </row>
    <row r="9" spans="1:5" collapsed="1" x14ac:dyDescent="0.3">
      <c r="A9" s="1" t="s">
        <v>22</v>
      </c>
    </row>
    <row r="10" spans="1:5" hidden="1" outlineLevel="1" x14ac:dyDescent="0.3">
      <c r="B10" t="s">
        <v>23</v>
      </c>
    </row>
    <row r="11" spans="1:5" hidden="1" outlineLevel="1" x14ac:dyDescent="0.3">
      <c r="B11" t="s">
        <v>24</v>
      </c>
    </row>
    <row r="12" spans="1:5" hidden="1" outlineLevel="1" x14ac:dyDescent="0.3">
      <c r="B12" t="s">
        <v>25</v>
      </c>
    </row>
    <row r="13" spans="1:5" collapsed="1" x14ac:dyDescent="0.3"/>
    <row r="14" spans="1:5" ht="15" thickBot="1" x14ac:dyDescent="0.35">
      <c r="A14" t="s">
        <v>26</v>
      </c>
    </row>
    <row r="15" spans="1:5" ht="15" thickBot="1" x14ac:dyDescent="0.35">
      <c r="B15" s="3" t="s">
        <v>27</v>
      </c>
      <c r="C15" s="3" t="s">
        <v>28</v>
      </c>
      <c r="D15" s="3" t="s">
        <v>29</v>
      </c>
      <c r="E15" s="3" t="s">
        <v>30</v>
      </c>
    </row>
    <row r="16" spans="1:5" ht="15" thickBot="1" x14ac:dyDescent="0.35">
      <c r="B16" s="2" t="s">
        <v>38</v>
      </c>
      <c r="C16" s="2" t="s">
        <v>39</v>
      </c>
      <c r="D16" s="6">
        <v>23400</v>
      </c>
      <c r="E16" s="6">
        <v>23400</v>
      </c>
    </row>
    <row r="19" spans="1:7" ht="15" thickBot="1" x14ac:dyDescent="0.35">
      <c r="A19" t="s">
        <v>31</v>
      </c>
    </row>
    <row r="20" spans="1:7" ht="15" thickBot="1" x14ac:dyDescent="0.35">
      <c r="B20" s="3" t="s">
        <v>27</v>
      </c>
      <c r="C20" s="3" t="s">
        <v>28</v>
      </c>
      <c r="D20" s="3" t="s">
        <v>29</v>
      </c>
      <c r="E20" s="3" t="s">
        <v>30</v>
      </c>
      <c r="F20" s="3" t="s">
        <v>32</v>
      </c>
    </row>
    <row r="21" spans="1:7" x14ac:dyDescent="0.3">
      <c r="B21" s="10" t="s">
        <v>59</v>
      </c>
      <c r="C21" s="9"/>
      <c r="D21" s="9"/>
      <c r="E21" s="9"/>
      <c r="F21" s="9"/>
    </row>
    <row r="22" spans="1:7" hidden="1" outlineLevel="1" x14ac:dyDescent="0.3">
      <c r="B22" s="5" t="s">
        <v>40</v>
      </c>
      <c r="C22" s="5" t="s">
        <v>41</v>
      </c>
      <c r="D22" s="7">
        <v>59.999999999999993</v>
      </c>
      <c r="E22" s="7">
        <v>59.999999999999993</v>
      </c>
      <c r="F22" s="5" t="s">
        <v>42</v>
      </c>
    </row>
    <row r="23" spans="1:7" hidden="1" outlineLevel="1" x14ac:dyDescent="0.3">
      <c r="B23" s="5" t="s">
        <v>43</v>
      </c>
      <c r="C23" s="5" t="s">
        <v>44</v>
      </c>
      <c r="D23" s="7">
        <v>0</v>
      </c>
      <c r="E23" s="7">
        <v>0</v>
      </c>
      <c r="F23" s="5" t="s">
        <v>42</v>
      </c>
    </row>
    <row r="24" spans="1:7" ht="15" hidden="1" outlineLevel="1" thickBot="1" x14ac:dyDescent="0.35">
      <c r="B24" s="2" t="s">
        <v>45</v>
      </c>
      <c r="C24" s="2" t="s">
        <v>46</v>
      </c>
      <c r="D24" s="6">
        <v>12.000000000000007</v>
      </c>
      <c r="E24" s="6">
        <v>12.000000000000007</v>
      </c>
      <c r="F24" s="2" t="s">
        <v>42</v>
      </c>
    </row>
    <row r="25" spans="1:7" collapsed="1" x14ac:dyDescent="0.3">
      <c r="B25" s="4"/>
      <c r="C25" s="4"/>
      <c r="D25" s="8"/>
      <c r="E25" s="8"/>
      <c r="F25" s="4"/>
    </row>
    <row r="28" spans="1:7" ht="15" thickBot="1" x14ac:dyDescent="0.35">
      <c r="A28" t="s">
        <v>33</v>
      </c>
    </row>
    <row r="29" spans="1:7" ht="15" thickBot="1" x14ac:dyDescent="0.35">
      <c r="B29" s="3" t="s">
        <v>27</v>
      </c>
      <c r="C29" s="3" t="s">
        <v>28</v>
      </c>
      <c r="D29" s="3" t="s">
        <v>34</v>
      </c>
      <c r="E29" s="3" t="s">
        <v>35</v>
      </c>
      <c r="F29" s="3" t="s">
        <v>36</v>
      </c>
      <c r="G29" s="3" t="s">
        <v>37</v>
      </c>
    </row>
    <row r="30" spans="1:7" x14ac:dyDescent="0.3">
      <c r="B30" s="5" t="s">
        <v>47</v>
      </c>
      <c r="C30" s="5" t="s">
        <v>48</v>
      </c>
      <c r="D30" s="7">
        <v>2820</v>
      </c>
      <c r="E30" s="5" t="s">
        <v>49</v>
      </c>
      <c r="F30" s="5" t="s">
        <v>50</v>
      </c>
      <c r="G30" s="5">
        <v>180</v>
      </c>
    </row>
    <row r="31" spans="1:7" x14ac:dyDescent="0.3">
      <c r="B31" s="5" t="s">
        <v>51</v>
      </c>
      <c r="C31" s="5" t="s">
        <v>48</v>
      </c>
      <c r="D31" s="7">
        <v>1200</v>
      </c>
      <c r="E31" s="5" t="s">
        <v>52</v>
      </c>
      <c r="F31" s="5" t="s">
        <v>53</v>
      </c>
      <c r="G31" s="5">
        <v>0</v>
      </c>
    </row>
    <row r="32" spans="1:7" x14ac:dyDescent="0.3">
      <c r="B32" s="5" t="s">
        <v>54</v>
      </c>
      <c r="C32" s="5" t="s">
        <v>48</v>
      </c>
      <c r="D32" s="7">
        <v>150</v>
      </c>
      <c r="E32" s="5" t="s">
        <v>55</v>
      </c>
      <c r="F32" s="5" t="s">
        <v>53</v>
      </c>
      <c r="G32" s="5">
        <v>0</v>
      </c>
    </row>
    <row r="33" spans="2:7" x14ac:dyDescent="0.3">
      <c r="B33" s="11" t="s">
        <v>60</v>
      </c>
      <c r="C33" s="5"/>
      <c r="D33" s="7"/>
      <c r="E33" s="5"/>
      <c r="F33" s="5"/>
      <c r="G33" s="5"/>
    </row>
    <row r="34" spans="2:7" hidden="1" outlineLevel="1" x14ac:dyDescent="0.3">
      <c r="B34" s="5" t="s">
        <v>40</v>
      </c>
      <c r="C34" s="5" t="s">
        <v>41</v>
      </c>
      <c r="D34" s="7">
        <v>59.999999999999993</v>
      </c>
      <c r="E34" s="5" t="s">
        <v>56</v>
      </c>
      <c r="F34" s="5" t="s">
        <v>50</v>
      </c>
      <c r="G34" s="7">
        <v>59.999999999999993</v>
      </c>
    </row>
    <row r="35" spans="2:7" hidden="1" outlineLevel="1" x14ac:dyDescent="0.3">
      <c r="B35" s="5" t="s">
        <v>43</v>
      </c>
      <c r="C35" s="5" t="s">
        <v>44</v>
      </c>
      <c r="D35" s="7">
        <v>0</v>
      </c>
      <c r="E35" s="5" t="s">
        <v>57</v>
      </c>
      <c r="F35" s="5" t="s">
        <v>53</v>
      </c>
      <c r="G35" s="7">
        <v>0</v>
      </c>
    </row>
    <row r="36" spans="2:7" ht="15" hidden="1" outlineLevel="1" thickBot="1" x14ac:dyDescent="0.35">
      <c r="B36" s="2" t="s">
        <v>45</v>
      </c>
      <c r="C36" s="2" t="s">
        <v>46</v>
      </c>
      <c r="D36" s="6">
        <v>12.000000000000007</v>
      </c>
      <c r="E36" s="2" t="s">
        <v>58</v>
      </c>
      <c r="F36" s="2" t="s">
        <v>50</v>
      </c>
      <c r="G36" s="6">
        <v>12.000000000000007</v>
      </c>
    </row>
    <row r="37" spans="2:7" collapsed="1" x14ac:dyDescent="0.3">
      <c r="B37" s="4"/>
      <c r="C37" s="4"/>
      <c r="D37" s="8"/>
      <c r="E37" s="4"/>
      <c r="F37" s="4"/>
      <c r="G37" s="8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E922C-8F19-49D7-86CF-5E042BAED970}">
  <dimension ref="A1:H10"/>
  <sheetViews>
    <sheetView workbookViewId="0">
      <selection activeCell="D16" sqref="D16"/>
    </sheetView>
  </sheetViews>
  <sheetFormatPr defaultRowHeight="14.4" x14ac:dyDescent="0.3"/>
  <cols>
    <col min="1" max="1" width="27.109375" customWidth="1"/>
  </cols>
  <sheetData>
    <row r="1" spans="1:8" x14ac:dyDescent="0.3">
      <c r="A1" s="1">
        <v>2</v>
      </c>
    </row>
    <row r="2" spans="1:8" x14ac:dyDescent="0.3">
      <c r="A2" t="s">
        <v>0</v>
      </c>
      <c r="B2" t="s">
        <v>1</v>
      </c>
      <c r="C2" t="s">
        <v>2</v>
      </c>
      <c r="D2" t="s">
        <v>3</v>
      </c>
      <c r="E2" t="s">
        <v>62</v>
      </c>
      <c r="G2" t="s">
        <v>5</v>
      </c>
    </row>
    <row r="3" spans="1:8" x14ac:dyDescent="0.3">
      <c r="A3" t="s">
        <v>6</v>
      </c>
      <c r="B3">
        <v>0</v>
      </c>
      <c r="C3">
        <v>0</v>
      </c>
      <c r="D3">
        <v>35</v>
      </c>
      <c r="E3">
        <v>20</v>
      </c>
      <c r="G3">
        <f>SUMPRODUCT(B3:E3,B4:E4)</f>
        <v>5100</v>
      </c>
      <c r="H3" t="s">
        <v>4</v>
      </c>
    </row>
    <row r="4" spans="1:8" x14ac:dyDescent="0.3">
      <c r="A4" t="s">
        <v>61</v>
      </c>
      <c r="B4">
        <v>40</v>
      </c>
      <c r="C4">
        <v>50</v>
      </c>
      <c r="D4">
        <v>100</v>
      </c>
      <c r="E4">
        <v>80</v>
      </c>
    </row>
    <row r="6" spans="1:8" x14ac:dyDescent="0.3">
      <c r="A6" s="16" t="s">
        <v>8</v>
      </c>
      <c r="B6" s="16"/>
      <c r="C6" s="16"/>
      <c r="D6" s="16"/>
    </row>
    <row r="7" spans="1:8" x14ac:dyDescent="0.3">
      <c r="B7" t="s">
        <v>9</v>
      </c>
      <c r="C7" t="s">
        <v>2</v>
      </c>
      <c r="D7" t="s">
        <v>3</v>
      </c>
      <c r="E7" t="s">
        <v>62</v>
      </c>
    </row>
    <row r="8" spans="1:8" x14ac:dyDescent="0.3">
      <c r="A8" t="s">
        <v>63</v>
      </c>
      <c r="B8">
        <v>2.5</v>
      </c>
      <c r="C8">
        <v>2.5</v>
      </c>
      <c r="D8">
        <v>2</v>
      </c>
      <c r="E8">
        <v>1.5</v>
      </c>
      <c r="F8" t="s">
        <v>11</v>
      </c>
      <c r="G8">
        <v>100</v>
      </c>
      <c r="H8">
        <f>SUMPRODUCT(B8:E8,$B$3:$E$3)</f>
        <v>100</v>
      </c>
    </row>
    <row r="9" spans="1:8" x14ac:dyDescent="0.3">
      <c r="A9" t="s">
        <v>64</v>
      </c>
      <c r="B9">
        <v>4</v>
      </c>
      <c r="C9">
        <v>10</v>
      </c>
      <c r="D9">
        <v>4</v>
      </c>
      <c r="E9">
        <v>6</v>
      </c>
      <c r="F9" t="s">
        <v>11</v>
      </c>
      <c r="G9">
        <v>260</v>
      </c>
      <c r="H9">
        <f t="shared" ref="H9:H10" si="0">SUMPRODUCT(B9:E9,$B$3:$E$3)</f>
        <v>260</v>
      </c>
    </row>
    <row r="10" spans="1:8" x14ac:dyDescent="0.3">
      <c r="A10" t="s">
        <v>65</v>
      </c>
      <c r="B10">
        <v>8</v>
      </c>
      <c r="C10">
        <v>7</v>
      </c>
      <c r="D10">
        <v>4</v>
      </c>
      <c r="E10">
        <v>10</v>
      </c>
      <c r="F10" t="s">
        <v>11</v>
      </c>
      <c r="G10">
        <v>370</v>
      </c>
      <c r="H10">
        <f t="shared" si="0"/>
        <v>340</v>
      </c>
    </row>
  </sheetData>
  <mergeCells count="1">
    <mergeCell ref="A6:D6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5891B-38B3-4EAD-9EA8-48925AFF06E2}">
  <dimension ref="A1:G39"/>
  <sheetViews>
    <sheetView showGridLines="0" workbookViewId="0"/>
  </sheetViews>
  <sheetFormatPr defaultRowHeight="14.4" outlineLevelRow="1" x14ac:dyDescent="0.3"/>
  <cols>
    <col min="1" max="1" width="2.33203125" customWidth="1"/>
    <col min="2" max="2" width="7.21875" bestFit="1" customWidth="1"/>
    <col min="3" max="3" width="27.88671875" bestFit="1" customWidth="1"/>
    <col min="4" max="4" width="18.44140625" bestFit="1" customWidth="1"/>
    <col min="5" max="5" width="23.5546875" bestFit="1" customWidth="1"/>
    <col min="6" max="6" width="14.88671875" bestFit="1" customWidth="1"/>
    <col min="7" max="7" width="7.44140625" bestFit="1" customWidth="1"/>
  </cols>
  <sheetData>
    <row r="1" spans="1:5" x14ac:dyDescent="0.3">
      <c r="A1" s="1" t="s">
        <v>14</v>
      </c>
    </row>
    <row r="2" spans="1:5" x14ac:dyDescent="0.3">
      <c r="A2" s="1" t="s">
        <v>66</v>
      </c>
    </row>
    <row r="3" spans="1:5" x14ac:dyDescent="0.3">
      <c r="A3" s="1" t="s">
        <v>67</v>
      </c>
    </row>
    <row r="4" spans="1:5" x14ac:dyDescent="0.3">
      <c r="A4" s="1" t="s">
        <v>17</v>
      </c>
    </row>
    <row r="5" spans="1:5" x14ac:dyDescent="0.3">
      <c r="A5" s="1" t="s">
        <v>18</v>
      </c>
    </row>
    <row r="6" spans="1:5" hidden="1" outlineLevel="1" x14ac:dyDescent="0.3">
      <c r="A6" s="1"/>
      <c r="B6" t="s">
        <v>19</v>
      </c>
    </row>
    <row r="7" spans="1:5" hidden="1" outlineLevel="1" x14ac:dyDescent="0.3">
      <c r="A7" s="1"/>
      <c r="B7" t="s">
        <v>68</v>
      </c>
    </row>
    <row r="8" spans="1:5" hidden="1" outlineLevel="1" x14ac:dyDescent="0.3">
      <c r="A8" s="1"/>
      <c r="B8" t="s">
        <v>21</v>
      </c>
    </row>
    <row r="9" spans="1:5" collapsed="1" x14ac:dyDescent="0.3">
      <c r="A9" s="1" t="s">
        <v>22</v>
      </c>
    </row>
    <row r="10" spans="1:5" hidden="1" outlineLevel="1" x14ac:dyDescent="0.3">
      <c r="B10" t="s">
        <v>23</v>
      </c>
    </row>
    <row r="11" spans="1:5" hidden="1" outlineLevel="1" x14ac:dyDescent="0.3">
      <c r="B11" t="s">
        <v>24</v>
      </c>
    </row>
    <row r="12" spans="1:5" hidden="1" outlineLevel="1" x14ac:dyDescent="0.3">
      <c r="B12" t="s">
        <v>25</v>
      </c>
    </row>
    <row r="13" spans="1:5" collapsed="1" x14ac:dyDescent="0.3"/>
    <row r="14" spans="1:5" ht="15" thickBot="1" x14ac:dyDescent="0.35">
      <c r="A14" t="s">
        <v>26</v>
      </c>
    </row>
    <row r="15" spans="1:5" ht="15" thickBot="1" x14ac:dyDescent="0.35">
      <c r="B15" s="3" t="s">
        <v>27</v>
      </c>
      <c r="C15" s="3" t="s">
        <v>28</v>
      </c>
      <c r="D15" s="3" t="s">
        <v>29</v>
      </c>
      <c r="E15" s="3" t="s">
        <v>30</v>
      </c>
    </row>
    <row r="16" spans="1:5" ht="15" thickBot="1" x14ac:dyDescent="0.35">
      <c r="B16" s="2" t="s">
        <v>69</v>
      </c>
      <c r="C16" s="2" t="s">
        <v>39</v>
      </c>
      <c r="D16" s="6">
        <v>5100</v>
      </c>
      <c r="E16" s="6">
        <v>5100</v>
      </c>
    </row>
    <row r="19" spans="1:7" ht="15" thickBot="1" x14ac:dyDescent="0.35">
      <c r="A19" t="s">
        <v>31</v>
      </c>
    </row>
    <row r="20" spans="1:7" ht="15" thickBot="1" x14ac:dyDescent="0.35">
      <c r="B20" s="3" t="s">
        <v>27</v>
      </c>
      <c r="C20" s="3" t="s">
        <v>28</v>
      </c>
      <c r="D20" s="3" t="s">
        <v>29</v>
      </c>
      <c r="E20" s="3" t="s">
        <v>30</v>
      </c>
      <c r="F20" s="3" t="s">
        <v>32</v>
      </c>
    </row>
    <row r="21" spans="1:7" x14ac:dyDescent="0.3">
      <c r="B21" s="10" t="s">
        <v>79</v>
      </c>
      <c r="C21" s="9"/>
      <c r="D21" s="9"/>
      <c r="E21" s="9"/>
      <c r="F21" s="9"/>
    </row>
    <row r="22" spans="1:7" hidden="1" outlineLevel="1" x14ac:dyDescent="0.3">
      <c r="B22" s="5" t="s">
        <v>40</v>
      </c>
      <c r="C22" s="5" t="s">
        <v>41</v>
      </c>
      <c r="D22" s="7">
        <v>0</v>
      </c>
      <c r="E22" s="7">
        <v>0</v>
      </c>
      <c r="F22" s="5" t="s">
        <v>42</v>
      </c>
    </row>
    <row r="23" spans="1:7" hidden="1" outlineLevel="1" x14ac:dyDescent="0.3">
      <c r="B23" s="5" t="s">
        <v>43</v>
      </c>
      <c r="C23" s="5" t="s">
        <v>44</v>
      </c>
      <c r="D23" s="7">
        <v>0</v>
      </c>
      <c r="E23" s="7">
        <v>0</v>
      </c>
      <c r="F23" s="5" t="s">
        <v>42</v>
      </c>
    </row>
    <row r="24" spans="1:7" hidden="1" outlineLevel="1" x14ac:dyDescent="0.3">
      <c r="B24" s="5" t="s">
        <v>45</v>
      </c>
      <c r="C24" s="5" t="s">
        <v>46</v>
      </c>
      <c r="D24" s="7">
        <v>35</v>
      </c>
      <c r="E24" s="7">
        <v>35</v>
      </c>
      <c r="F24" s="5" t="s">
        <v>42</v>
      </c>
    </row>
    <row r="25" spans="1:7" ht="15" hidden="1" outlineLevel="1" thickBot="1" x14ac:dyDescent="0.35">
      <c r="B25" s="2" t="s">
        <v>70</v>
      </c>
      <c r="C25" s="2" t="s">
        <v>71</v>
      </c>
      <c r="D25" s="6">
        <v>20</v>
      </c>
      <c r="E25" s="6">
        <v>20</v>
      </c>
      <c r="F25" s="2" t="s">
        <v>42</v>
      </c>
    </row>
    <row r="26" spans="1:7" collapsed="1" x14ac:dyDescent="0.3">
      <c r="B26" s="4"/>
      <c r="C26" s="4"/>
      <c r="D26" s="8"/>
      <c r="E26" s="8"/>
      <c r="F26" s="4"/>
    </row>
    <row r="29" spans="1:7" ht="15" thickBot="1" x14ac:dyDescent="0.35">
      <c r="A29" t="s">
        <v>33</v>
      </c>
    </row>
    <row r="30" spans="1:7" ht="15" thickBot="1" x14ac:dyDescent="0.35">
      <c r="B30" s="3" t="s">
        <v>27</v>
      </c>
      <c r="C30" s="3" t="s">
        <v>28</v>
      </c>
      <c r="D30" s="3" t="s">
        <v>34</v>
      </c>
      <c r="E30" s="3" t="s">
        <v>35</v>
      </c>
      <c r="F30" s="3" t="s">
        <v>36</v>
      </c>
      <c r="G30" s="3" t="s">
        <v>37</v>
      </c>
    </row>
    <row r="31" spans="1:7" x14ac:dyDescent="0.3">
      <c r="B31" s="5" t="s">
        <v>72</v>
      </c>
      <c r="C31" s="5" t="s">
        <v>48</v>
      </c>
      <c r="D31" s="7">
        <v>340</v>
      </c>
      <c r="E31" s="5" t="s">
        <v>73</v>
      </c>
      <c r="F31" s="5" t="s">
        <v>50</v>
      </c>
      <c r="G31" s="5">
        <v>29.999999999999943</v>
      </c>
    </row>
    <row r="32" spans="1:7" x14ac:dyDescent="0.3">
      <c r="B32" s="5" t="s">
        <v>74</v>
      </c>
      <c r="C32" s="5" t="s">
        <v>48</v>
      </c>
      <c r="D32" s="7">
        <v>100</v>
      </c>
      <c r="E32" s="5" t="s">
        <v>75</v>
      </c>
      <c r="F32" s="5" t="s">
        <v>53</v>
      </c>
      <c r="G32" s="5">
        <v>0</v>
      </c>
    </row>
    <row r="33" spans="2:7" x14ac:dyDescent="0.3">
      <c r="B33" s="5" t="s">
        <v>76</v>
      </c>
      <c r="C33" s="5" t="s">
        <v>48</v>
      </c>
      <c r="D33" s="7">
        <v>260</v>
      </c>
      <c r="E33" s="5" t="s">
        <v>77</v>
      </c>
      <c r="F33" s="5" t="s">
        <v>53</v>
      </c>
      <c r="G33" s="5">
        <v>0</v>
      </c>
    </row>
    <row r="34" spans="2:7" x14ac:dyDescent="0.3">
      <c r="B34" s="11" t="s">
        <v>80</v>
      </c>
      <c r="C34" s="5"/>
      <c r="D34" s="7"/>
      <c r="E34" s="5"/>
      <c r="F34" s="5"/>
      <c r="G34" s="5"/>
    </row>
    <row r="35" spans="2:7" hidden="1" outlineLevel="1" x14ac:dyDescent="0.3">
      <c r="B35" s="5" t="s">
        <v>40</v>
      </c>
      <c r="C35" s="5" t="s">
        <v>41</v>
      </c>
      <c r="D35" s="7">
        <v>0</v>
      </c>
      <c r="E35" s="5" t="s">
        <v>56</v>
      </c>
      <c r="F35" s="5" t="s">
        <v>53</v>
      </c>
      <c r="G35" s="7">
        <v>0</v>
      </c>
    </row>
    <row r="36" spans="2:7" hidden="1" outlineLevel="1" x14ac:dyDescent="0.3">
      <c r="B36" s="5" t="s">
        <v>43</v>
      </c>
      <c r="C36" s="5" t="s">
        <v>44</v>
      </c>
      <c r="D36" s="7">
        <v>0</v>
      </c>
      <c r="E36" s="5" t="s">
        <v>57</v>
      </c>
      <c r="F36" s="5" t="s">
        <v>53</v>
      </c>
      <c r="G36" s="7">
        <v>0</v>
      </c>
    </row>
    <row r="37" spans="2:7" hidden="1" outlineLevel="1" x14ac:dyDescent="0.3">
      <c r="B37" s="5" t="s">
        <v>45</v>
      </c>
      <c r="C37" s="5" t="s">
        <v>46</v>
      </c>
      <c r="D37" s="7">
        <v>35</v>
      </c>
      <c r="E37" s="5" t="s">
        <v>58</v>
      </c>
      <c r="F37" s="5" t="s">
        <v>50</v>
      </c>
      <c r="G37" s="7">
        <v>35</v>
      </c>
    </row>
    <row r="38" spans="2:7" ht="15" hidden="1" outlineLevel="1" thickBot="1" x14ac:dyDescent="0.35">
      <c r="B38" s="2" t="s">
        <v>70</v>
      </c>
      <c r="C38" s="2" t="s">
        <v>71</v>
      </c>
      <c r="D38" s="6">
        <v>20</v>
      </c>
      <c r="E38" s="2" t="s">
        <v>78</v>
      </c>
      <c r="F38" s="2" t="s">
        <v>50</v>
      </c>
      <c r="G38" s="6">
        <v>20</v>
      </c>
    </row>
    <row r="39" spans="2:7" collapsed="1" x14ac:dyDescent="0.3">
      <c r="B39" s="4"/>
      <c r="C39" s="4"/>
      <c r="D39" s="8"/>
      <c r="E39" s="4"/>
      <c r="F39" s="4"/>
      <c r="G39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2DE87-B329-4E4D-9A63-2EE749F66041}">
  <dimension ref="A1:F13"/>
  <sheetViews>
    <sheetView workbookViewId="0">
      <selection activeCell="B4" sqref="B4"/>
    </sheetView>
  </sheetViews>
  <sheetFormatPr defaultRowHeight="14.4" x14ac:dyDescent="0.3"/>
  <cols>
    <col min="1" max="1" width="14.6640625" customWidth="1"/>
  </cols>
  <sheetData>
    <row r="1" spans="1:6" x14ac:dyDescent="0.3">
      <c r="A1" t="s">
        <v>81</v>
      </c>
      <c r="B1" t="s">
        <v>1</v>
      </c>
      <c r="C1" t="s">
        <v>2</v>
      </c>
    </row>
    <row r="2" spans="1:6" x14ac:dyDescent="0.3">
      <c r="A2" t="s">
        <v>82</v>
      </c>
      <c r="B2">
        <v>100</v>
      </c>
      <c r="C2">
        <v>50</v>
      </c>
      <c r="E2" s="1">
        <v>3</v>
      </c>
    </row>
    <row r="3" spans="1:6" x14ac:dyDescent="0.3">
      <c r="B3">
        <v>2</v>
      </c>
      <c r="C3">
        <v>1</v>
      </c>
    </row>
    <row r="4" spans="1:6" x14ac:dyDescent="0.3">
      <c r="A4" s="17" t="s">
        <v>83</v>
      </c>
      <c r="B4" t="s">
        <v>4</v>
      </c>
    </row>
    <row r="5" spans="1:6" x14ac:dyDescent="0.3">
      <c r="A5" s="18">
        <f>SUMPRODUCT(B3:C3,B2:C2)</f>
        <v>250</v>
      </c>
    </row>
    <row r="6" spans="1:6" x14ac:dyDescent="0.3">
      <c r="A6" t="s">
        <v>1</v>
      </c>
      <c r="B6">
        <f>B2</f>
        <v>100</v>
      </c>
      <c r="C6" t="s">
        <v>85</v>
      </c>
    </row>
    <row r="7" spans="1:6" x14ac:dyDescent="0.3">
      <c r="A7" t="s">
        <v>2</v>
      </c>
      <c r="B7">
        <f>C2</f>
        <v>50</v>
      </c>
      <c r="C7" t="s">
        <v>86</v>
      </c>
    </row>
    <row r="8" spans="1:6" x14ac:dyDescent="0.3">
      <c r="A8" t="s">
        <v>84</v>
      </c>
      <c r="B8">
        <f>B2+C2</f>
        <v>150</v>
      </c>
      <c r="C8" t="s">
        <v>87</v>
      </c>
    </row>
    <row r="11" spans="1:6" x14ac:dyDescent="0.3">
      <c r="A11" s="12" t="s">
        <v>104</v>
      </c>
      <c r="B11" s="12">
        <v>1</v>
      </c>
      <c r="C11" s="12">
        <v>0</v>
      </c>
      <c r="D11" s="12" t="s">
        <v>11</v>
      </c>
      <c r="E11" s="12">
        <v>100</v>
      </c>
      <c r="F11" s="12">
        <f>SUMPRODUCT(B11:C11,$B$2:$C$2)</f>
        <v>100</v>
      </c>
    </row>
    <row r="12" spans="1:6" x14ac:dyDescent="0.3">
      <c r="A12" s="12" t="s">
        <v>105</v>
      </c>
      <c r="B12" s="12">
        <v>0</v>
      </c>
      <c r="C12" s="12">
        <v>1</v>
      </c>
      <c r="D12" s="12" t="s">
        <v>11</v>
      </c>
      <c r="E12" s="12">
        <v>300</v>
      </c>
      <c r="F12" s="12">
        <f t="shared" ref="F12:F13" si="0">SUMPRODUCT(B12:C12,$B$2:$C$2)</f>
        <v>50</v>
      </c>
    </row>
    <row r="13" spans="1:6" x14ac:dyDescent="0.3">
      <c r="A13" s="12" t="s">
        <v>106</v>
      </c>
      <c r="B13" s="12">
        <v>1</v>
      </c>
      <c r="C13" s="12">
        <v>1</v>
      </c>
      <c r="D13" s="12" t="s">
        <v>11</v>
      </c>
      <c r="E13" s="12">
        <v>150</v>
      </c>
      <c r="F13" s="12">
        <f t="shared" si="0"/>
        <v>150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C1BD4-6717-4B28-B73D-0B9299521233}">
  <dimension ref="A1:G29"/>
  <sheetViews>
    <sheetView showGridLines="0" workbookViewId="0"/>
  </sheetViews>
  <sheetFormatPr defaultRowHeight="14.4" outlineLevelRow="1" x14ac:dyDescent="0.3"/>
  <cols>
    <col min="1" max="1" width="2.33203125" customWidth="1"/>
    <col min="2" max="2" width="7.21875" bestFit="1" customWidth="1"/>
    <col min="3" max="3" width="8.33203125" bestFit="1" customWidth="1"/>
    <col min="4" max="4" width="18.44140625" bestFit="1" customWidth="1"/>
    <col min="5" max="5" width="23.5546875" bestFit="1" customWidth="1"/>
    <col min="6" max="6" width="14.88671875" bestFit="1" customWidth="1"/>
    <col min="7" max="7" width="7.44140625" bestFit="1" customWidth="1"/>
  </cols>
  <sheetData>
    <row r="1" spans="1:5" x14ac:dyDescent="0.3">
      <c r="A1" s="1" t="s">
        <v>14</v>
      </c>
    </row>
    <row r="2" spans="1:5" x14ac:dyDescent="0.3">
      <c r="A2" s="1" t="s">
        <v>88</v>
      </c>
    </row>
    <row r="3" spans="1:5" x14ac:dyDescent="0.3">
      <c r="A3" s="1" t="s">
        <v>89</v>
      </c>
    </row>
    <row r="4" spans="1:5" x14ac:dyDescent="0.3">
      <c r="A4" s="1" t="s">
        <v>17</v>
      </c>
    </row>
    <row r="5" spans="1:5" x14ac:dyDescent="0.3">
      <c r="A5" s="1" t="s">
        <v>18</v>
      </c>
    </row>
    <row r="6" spans="1:5" hidden="1" outlineLevel="1" x14ac:dyDescent="0.3">
      <c r="A6" s="1"/>
      <c r="B6" t="s">
        <v>19</v>
      </c>
    </row>
    <row r="7" spans="1:5" hidden="1" outlineLevel="1" x14ac:dyDescent="0.3">
      <c r="A7" s="1"/>
      <c r="B7" t="s">
        <v>20</v>
      </c>
    </row>
    <row r="8" spans="1:5" hidden="1" outlineLevel="1" x14ac:dyDescent="0.3">
      <c r="A8" s="1"/>
      <c r="B8" t="s">
        <v>21</v>
      </c>
    </row>
    <row r="9" spans="1:5" collapsed="1" x14ac:dyDescent="0.3">
      <c r="A9" s="1" t="s">
        <v>22</v>
      </c>
    </row>
    <row r="10" spans="1:5" hidden="1" outlineLevel="1" x14ac:dyDescent="0.3">
      <c r="B10" t="s">
        <v>23</v>
      </c>
    </row>
    <row r="11" spans="1:5" hidden="1" outlineLevel="1" x14ac:dyDescent="0.3">
      <c r="B11" t="s">
        <v>24</v>
      </c>
    </row>
    <row r="12" spans="1:5" hidden="1" outlineLevel="1" x14ac:dyDescent="0.3">
      <c r="B12" t="s">
        <v>25</v>
      </c>
    </row>
    <row r="13" spans="1:5" collapsed="1" x14ac:dyDescent="0.3"/>
    <row r="14" spans="1:5" ht="15" thickBot="1" x14ac:dyDescent="0.35">
      <c r="A14" t="s">
        <v>26</v>
      </c>
    </row>
    <row r="15" spans="1:5" ht="15" thickBot="1" x14ac:dyDescent="0.35">
      <c r="B15" s="3" t="s">
        <v>27</v>
      </c>
      <c r="C15" s="3" t="s">
        <v>28</v>
      </c>
      <c r="D15" s="3" t="s">
        <v>29</v>
      </c>
      <c r="E15" s="3" t="s">
        <v>30</v>
      </c>
    </row>
    <row r="16" spans="1:5" ht="15" thickBot="1" x14ac:dyDescent="0.35">
      <c r="B16" s="2" t="s">
        <v>90</v>
      </c>
      <c r="C16" s="2" t="s">
        <v>83</v>
      </c>
      <c r="D16" s="6">
        <v>249.99999999999997</v>
      </c>
      <c r="E16" s="6">
        <v>249.99999999999997</v>
      </c>
    </row>
    <row r="19" spans="1:7" ht="15" thickBot="1" x14ac:dyDescent="0.35">
      <c r="A19" t="s">
        <v>31</v>
      </c>
    </row>
    <row r="20" spans="1:7" ht="15" thickBot="1" x14ac:dyDescent="0.35">
      <c r="B20" s="3" t="s">
        <v>27</v>
      </c>
      <c r="C20" s="3" t="s">
        <v>28</v>
      </c>
      <c r="D20" s="3" t="s">
        <v>29</v>
      </c>
      <c r="E20" s="3" t="s">
        <v>30</v>
      </c>
      <c r="F20" s="3" t="s">
        <v>32</v>
      </c>
    </row>
    <row r="21" spans="1:7" x14ac:dyDescent="0.3">
      <c r="B21" s="5" t="s">
        <v>91</v>
      </c>
      <c r="C21" s="5" t="s">
        <v>92</v>
      </c>
      <c r="D21" s="7">
        <v>99.999999999999986</v>
      </c>
      <c r="E21" s="7">
        <v>99.999999999999986</v>
      </c>
      <c r="F21" s="5" t="s">
        <v>42</v>
      </c>
    </row>
    <row r="22" spans="1:7" ht="15" thickBot="1" x14ac:dyDescent="0.35">
      <c r="B22" s="2" t="s">
        <v>93</v>
      </c>
      <c r="C22" s="2" t="s">
        <v>94</v>
      </c>
      <c r="D22" s="6">
        <v>49.999999999999993</v>
      </c>
      <c r="E22" s="6">
        <v>49.999999999999993</v>
      </c>
      <c r="F22" s="2" t="s">
        <v>42</v>
      </c>
    </row>
    <row r="25" spans="1:7" ht="15" thickBot="1" x14ac:dyDescent="0.35">
      <c r="A25" t="s">
        <v>33</v>
      </c>
    </row>
    <row r="26" spans="1:7" ht="15" thickBot="1" x14ac:dyDescent="0.35">
      <c r="B26" s="3" t="s">
        <v>27</v>
      </c>
      <c r="C26" s="3" t="s">
        <v>28</v>
      </c>
      <c r="D26" s="3" t="s">
        <v>34</v>
      </c>
      <c r="E26" s="3" t="s">
        <v>35</v>
      </c>
      <c r="F26" s="3" t="s">
        <v>36</v>
      </c>
      <c r="G26" s="3" t="s">
        <v>37</v>
      </c>
    </row>
    <row r="27" spans="1:7" x14ac:dyDescent="0.3">
      <c r="B27" s="5" t="s">
        <v>95</v>
      </c>
      <c r="C27" s="5" t="s">
        <v>96</v>
      </c>
      <c r="D27" s="7">
        <v>99.999999999999986</v>
      </c>
      <c r="E27" s="5" t="s">
        <v>97</v>
      </c>
      <c r="F27" s="5" t="s">
        <v>53</v>
      </c>
      <c r="G27" s="5">
        <v>0</v>
      </c>
    </row>
    <row r="28" spans="1:7" x14ac:dyDescent="0.3">
      <c r="B28" s="5" t="s">
        <v>98</v>
      </c>
      <c r="C28" s="5" t="s">
        <v>99</v>
      </c>
      <c r="D28" s="7">
        <v>49.999999999999993</v>
      </c>
      <c r="E28" s="5" t="s">
        <v>100</v>
      </c>
      <c r="F28" s="5" t="s">
        <v>50</v>
      </c>
      <c r="G28" s="5">
        <v>250</v>
      </c>
    </row>
    <row r="29" spans="1:7" ht="15" thickBot="1" x14ac:dyDescent="0.35">
      <c r="B29" s="2" t="s">
        <v>101</v>
      </c>
      <c r="C29" s="2" t="s">
        <v>102</v>
      </c>
      <c r="D29" s="6">
        <v>149.99999999999997</v>
      </c>
      <c r="E29" s="2" t="s">
        <v>103</v>
      </c>
      <c r="F29" s="2" t="s">
        <v>53</v>
      </c>
      <c r="G29" s="2">
        <v>0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6E918-0C65-4CAE-B5FE-C4CEA77BB76D}">
  <dimension ref="A1:I13"/>
  <sheetViews>
    <sheetView tabSelected="1" workbookViewId="0">
      <selection activeCell="I9" sqref="I9"/>
    </sheetView>
  </sheetViews>
  <sheetFormatPr defaultRowHeight="14.4" x14ac:dyDescent="0.3"/>
  <cols>
    <col min="1" max="1" width="22.109375" customWidth="1"/>
    <col min="6" max="6" width="17.109375" customWidth="1"/>
  </cols>
  <sheetData>
    <row r="1" spans="1:9" x14ac:dyDescent="0.3">
      <c r="A1">
        <v>4</v>
      </c>
    </row>
    <row r="2" spans="1:9" x14ac:dyDescent="0.3">
      <c r="A2" t="s">
        <v>0</v>
      </c>
      <c r="B2" t="s">
        <v>1</v>
      </c>
      <c r="C2" t="s">
        <v>2</v>
      </c>
      <c r="H2" t="s">
        <v>5</v>
      </c>
    </row>
    <row r="3" spans="1:9" x14ac:dyDescent="0.3">
      <c r="A3" t="s">
        <v>6</v>
      </c>
      <c r="B3" s="13">
        <v>54.999999999999993</v>
      </c>
      <c r="C3" s="13">
        <v>36.666666666666657</v>
      </c>
      <c r="H3" s="13">
        <f>SUMPRODUCT(B3:C3,B4:C4)</f>
        <v>109.99999999999997</v>
      </c>
      <c r="I3" t="s">
        <v>4</v>
      </c>
    </row>
    <row r="4" spans="1:9" x14ac:dyDescent="0.3">
      <c r="A4" t="s">
        <v>61</v>
      </c>
      <c r="B4">
        <v>1</v>
      </c>
      <c r="C4">
        <v>1.5</v>
      </c>
    </row>
    <row r="6" spans="1:9" x14ac:dyDescent="0.3">
      <c r="A6" s="16" t="s">
        <v>8</v>
      </c>
      <c r="B6" s="16"/>
      <c r="C6" s="16"/>
      <c r="D6" s="16"/>
    </row>
    <row r="7" spans="1:9" x14ac:dyDescent="0.3">
      <c r="B7" t="s">
        <v>9</v>
      </c>
      <c r="C7" t="s">
        <v>2</v>
      </c>
    </row>
    <row r="8" spans="1:9" x14ac:dyDescent="0.3">
      <c r="A8" t="s">
        <v>107</v>
      </c>
      <c r="B8" s="13">
        <v>4</v>
      </c>
      <c r="C8" s="13">
        <v>2</v>
      </c>
      <c r="D8" t="s">
        <v>11</v>
      </c>
      <c r="E8" s="13">
        <v>352</v>
      </c>
      <c r="F8" s="13">
        <f>SUMPRODUCT($B$3:$C$3,B8:C8)</f>
        <v>293.33333333333326</v>
      </c>
    </row>
    <row r="9" spans="1:9" x14ac:dyDescent="0.3">
      <c r="A9" t="s">
        <v>108</v>
      </c>
      <c r="B9" s="13">
        <v>3</v>
      </c>
      <c r="C9" s="13">
        <v>0</v>
      </c>
      <c r="D9" t="s">
        <v>11</v>
      </c>
      <c r="E9" s="13">
        <v>240</v>
      </c>
      <c r="F9" s="13">
        <f t="shared" ref="F9:F13" si="0">SUMPRODUCT($B$3:$C$3,B9:C9)</f>
        <v>164.99999999999997</v>
      </c>
    </row>
    <row r="10" spans="1:9" x14ac:dyDescent="0.3">
      <c r="A10" t="s">
        <v>109</v>
      </c>
      <c r="B10" s="13">
        <v>2</v>
      </c>
      <c r="C10" s="13">
        <v>6</v>
      </c>
      <c r="D10" t="s">
        <v>11</v>
      </c>
      <c r="E10" s="13">
        <v>330</v>
      </c>
      <c r="F10" s="13">
        <f t="shared" si="0"/>
        <v>329.99999999999994</v>
      </c>
    </row>
    <row r="11" spans="1:9" x14ac:dyDescent="0.3">
      <c r="A11" t="s">
        <v>110</v>
      </c>
      <c r="B11" s="13">
        <v>3</v>
      </c>
      <c r="C11" s="13">
        <v>5</v>
      </c>
      <c r="D11" t="s">
        <v>11</v>
      </c>
      <c r="E11" s="13">
        <v>420</v>
      </c>
      <c r="F11" s="13">
        <f t="shared" si="0"/>
        <v>348.33333333333326</v>
      </c>
    </row>
    <row r="12" spans="1:9" x14ac:dyDescent="0.3">
      <c r="A12" t="s">
        <v>111</v>
      </c>
      <c r="B12" s="13">
        <v>0</v>
      </c>
      <c r="C12" s="13">
        <v>4</v>
      </c>
      <c r="D12" t="s">
        <v>11</v>
      </c>
      <c r="E12" s="13">
        <v>400</v>
      </c>
      <c r="F12" s="13">
        <f t="shared" si="0"/>
        <v>146.66666666666663</v>
      </c>
    </row>
    <row r="13" spans="1:9" x14ac:dyDescent="0.3">
      <c r="B13" s="13">
        <v>-0.4</v>
      </c>
      <c r="C13" s="13">
        <v>0.6</v>
      </c>
      <c r="D13" t="s">
        <v>125</v>
      </c>
      <c r="E13" s="13">
        <v>0</v>
      </c>
      <c r="F13" s="13">
        <f t="shared" si="0"/>
        <v>-7.1054273576010019E-15</v>
      </c>
    </row>
  </sheetData>
  <mergeCells count="1">
    <mergeCell ref="A6:D6"/>
  </mergeCells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4434E-C733-4BF8-86CB-88FB7A2E5F5B}">
  <dimension ref="A1:G32"/>
  <sheetViews>
    <sheetView showGridLines="0" topLeftCell="J13" workbookViewId="0"/>
  </sheetViews>
  <sheetFormatPr defaultRowHeight="14.4" outlineLevelRow="1" x14ac:dyDescent="0.3"/>
  <cols>
    <col min="1" max="1" width="2.33203125" customWidth="1"/>
    <col min="2" max="2" width="7.21875" bestFit="1" customWidth="1"/>
    <col min="3" max="3" width="27.88671875" bestFit="1" customWidth="1"/>
    <col min="4" max="4" width="18.44140625" bestFit="1" customWidth="1"/>
    <col min="5" max="5" width="23.5546875" bestFit="1" customWidth="1"/>
    <col min="6" max="6" width="14.88671875" bestFit="1" customWidth="1"/>
    <col min="7" max="7" width="12" bestFit="1" customWidth="1"/>
  </cols>
  <sheetData>
    <row r="1" spans="1:5" x14ac:dyDescent="0.3">
      <c r="A1" s="1" t="s">
        <v>14</v>
      </c>
    </row>
    <row r="2" spans="1:5" x14ac:dyDescent="0.3">
      <c r="A2" s="1" t="s">
        <v>112</v>
      </c>
    </row>
    <row r="3" spans="1:5" x14ac:dyDescent="0.3">
      <c r="A3" s="1" t="s">
        <v>126</v>
      </c>
    </row>
    <row r="4" spans="1:5" x14ac:dyDescent="0.3">
      <c r="A4" s="1" t="s">
        <v>17</v>
      </c>
    </row>
    <row r="5" spans="1:5" x14ac:dyDescent="0.3">
      <c r="A5" s="1" t="s">
        <v>18</v>
      </c>
    </row>
    <row r="6" spans="1:5" hidden="1" outlineLevel="1" x14ac:dyDescent="0.3">
      <c r="A6" s="1"/>
      <c r="B6" t="s">
        <v>127</v>
      </c>
    </row>
    <row r="7" spans="1:5" hidden="1" outlineLevel="1" x14ac:dyDescent="0.3">
      <c r="A7" s="1"/>
      <c r="B7" t="s">
        <v>113</v>
      </c>
    </row>
    <row r="8" spans="1:5" hidden="1" outlineLevel="1" x14ac:dyDescent="0.3">
      <c r="A8" s="1"/>
      <c r="B8" t="s">
        <v>128</v>
      </c>
    </row>
    <row r="9" spans="1:5" collapsed="1" x14ac:dyDescent="0.3">
      <c r="A9" s="1" t="s">
        <v>22</v>
      </c>
    </row>
    <row r="10" spans="1:5" hidden="1" outlineLevel="1" x14ac:dyDescent="0.3">
      <c r="B10" t="s">
        <v>114</v>
      </c>
    </row>
    <row r="11" spans="1:5" hidden="1" outlineLevel="1" x14ac:dyDescent="0.3">
      <c r="B11" t="s">
        <v>25</v>
      </c>
    </row>
    <row r="12" spans="1:5" collapsed="1" x14ac:dyDescent="0.3"/>
    <row r="14" spans="1:5" ht="15" thickBot="1" x14ac:dyDescent="0.35">
      <c r="A14" t="s">
        <v>26</v>
      </c>
    </row>
    <row r="15" spans="1:5" ht="15" thickBot="1" x14ac:dyDescent="0.35">
      <c r="B15" s="3" t="s">
        <v>27</v>
      </c>
      <c r="C15" s="3" t="s">
        <v>28</v>
      </c>
      <c r="D15" s="3" t="s">
        <v>29</v>
      </c>
      <c r="E15" s="3" t="s">
        <v>30</v>
      </c>
    </row>
    <row r="16" spans="1:5" ht="15" thickBot="1" x14ac:dyDescent="0.35">
      <c r="B16" s="2" t="s">
        <v>115</v>
      </c>
      <c r="C16" s="2" t="s">
        <v>39</v>
      </c>
      <c r="D16" s="14">
        <v>109.99999999999997</v>
      </c>
      <c r="E16" s="14">
        <v>109.99999999999997</v>
      </c>
    </row>
    <row r="19" spans="1:7" ht="15" thickBot="1" x14ac:dyDescent="0.35">
      <c r="A19" t="s">
        <v>31</v>
      </c>
    </row>
    <row r="20" spans="1:7" ht="15" thickBot="1" x14ac:dyDescent="0.35">
      <c r="B20" s="3" t="s">
        <v>27</v>
      </c>
      <c r="C20" s="3" t="s">
        <v>28</v>
      </c>
      <c r="D20" s="3" t="s">
        <v>29</v>
      </c>
      <c r="E20" s="3" t="s">
        <v>30</v>
      </c>
      <c r="F20" s="3" t="s">
        <v>32</v>
      </c>
    </row>
    <row r="21" spans="1:7" x14ac:dyDescent="0.3">
      <c r="B21" s="5" t="s">
        <v>40</v>
      </c>
      <c r="C21" s="5" t="s">
        <v>41</v>
      </c>
      <c r="D21" s="15">
        <v>54.999999999999993</v>
      </c>
      <c r="E21" s="15">
        <v>54.999999999999993</v>
      </c>
      <c r="F21" s="5" t="s">
        <v>42</v>
      </c>
    </row>
    <row r="22" spans="1:7" ht="15" thickBot="1" x14ac:dyDescent="0.35">
      <c r="B22" s="2" t="s">
        <v>43</v>
      </c>
      <c r="C22" s="2" t="s">
        <v>44</v>
      </c>
      <c r="D22" s="14">
        <v>36.666666666666657</v>
      </c>
      <c r="E22" s="14">
        <v>36.666666666666657</v>
      </c>
      <c r="F22" s="2" t="s">
        <v>42</v>
      </c>
    </row>
    <row r="25" spans="1:7" ht="15" thickBot="1" x14ac:dyDescent="0.35">
      <c r="A25" t="s">
        <v>33</v>
      </c>
    </row>
    <row r="26" spans="1:7" ht="15" thickBot="1" x14ac:dyDescent="0.35">
      <c r="B26" s="3" t="s">
        <v>27</v>
      </c>
      <c r="C26" s="3" t="s">
        <v>28</v>
      </c>
      <c r="D26" s="3" t="s">
        <v>34</v>
      </c>
      <c r="E26" s="3" t="s">
        <v>35</v>
      </c>
      <c r="F26" s="3" t="s">
        <v>36</v>
      </c>
      <c r="G26" s="3" t="s">
        <v>37</v>
      </c>
    </row>
    <row r="27" spans="1:7" x14ac:dyDescent="0.3">
      <c r="B27" s="5" t="s">
        <v>118</v>
      </c>
      <c r="C27" s="5" t="s">
        <v>11</v>
      </c>
      <c r="D27" s="15">
        <v>348.33333333333326</v>
      </c>
      <c r="E27" s="5" t="s">
        <v>119</v>
      </c>
      <c r="F27" s="5" t="s">
        <v>50</v>
      </c>
      <c r="G27" s="5">
        <v>71.666666666666742</v>
      </c>
    </row>
    <row r="28" spans="1:7" x14ac:dyDescent="0.3">
      <c r="B28" s="5" t="s">
        <v>123</v>
      </c>
      <c r="C28" s="5" t="s">
        <v>11</v>
      </c>
      <c r="D28" s="15">
        <v>164.99999999999997</v>
      </c>
      <c r="E28" s="5" t="s">
        <v>124</v>
      </c>
      <c r="F28" s="5" t="s">
        <v>50</v>
      </c>
      <c r="G28" s="5">
        <v>75.000000000000028</v>
      </c>
    </row>
    <row r="29" spans="1:7" x14ac:dyDescent="0.3">
      <c r="B29" s="5" t="s">
        <v>123</v>
      </c>
      <c r="C29" s="5" t="s">
        <v>11</v>
      </c>
      <c r="D29" s="15">
        <v>164.99999999999997</v>
      </c>
      <c r="E29" s="5" t="s">
        <v>124</v>
      </c>
      <c r="F29" s="5" t="s">
        <v>50</v>
      </c>
      <c r="G29" s="5">
        <v>75.000000000000028</v>
      </c>
    </row>
    <row r="30" spans="1:7" x14ac:dyDescent="0.3">
      <c r="B30" s="5" t="s">
        <v>120</v>
      </c>
      <c r="C30" s="5" t="s">
        <v>125</v>
      </c>
      <c r="D30" s="15">
        <v>-7.1054273576010019E-15</v>
      </c>
      <c r="E30" s="5" t="s">
        <v>129</v>
      </c>
      <c r="F30" s="5" t="s">
        <v>53</v>
      </c>
      <c r="G30" s="15">
        <v>0</v>
      </c>
    </row>
    <row r="31" spans="1:7" x14ac:dyDescent="0.3">
      <c r="B31" s="5" t="s">
        <v>116</v>
      </c>
      <c r="C31" s="5" t="s">
        <v>11</v>
      </c>
      <c r="D31" s="15">
        <v>329.99999999999994</v>
      </c>
      <c r="E31" s="5" t="s">
        <v>117</v>
      </c>
      <c r="F31" s="5" t="s">
        <v>53</v>
      </c>
      <c r="G31" s="5">
        <v>0</v>
      </c>
    </row>
    <row r="32" spans="1:7" ht="15" thickBot="1" x14ac:dyDescent="0.35">
      <c r="B32" s="2" t="s">
        <v>121</v>
      </c>
      <c r="C32" s="2" t="s">
        <v>11</v>
      </c>
      <c r="D32" s="14">
        <v>293.33333333333326</v>
      </c>
      <c r="E32" s="2" t="s">
        <v>122</v>
      </c>
      <c r="F32" s="2" t="s">
        <v>50</v>
      </c>
      <c r="G32" s="2">
        <v>58.666666666666742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Лист1</vt:lpstr>
      <vt:lpstr>Отчет о результатах 1</vt:lpstr>
      <vt:lpstr>Лист3</vt:lpstr>
      <vt:lpstr>Отчет о результатах 2</vt:lpstr>
      <vt:lpstr>Лист5</vt:lpstr>
      <vt:lpstr>Отчет о результатах 3</vt:lpstr>
      <vt:lpstr>Лист7</vt:lpstr>
      <vt:lpstr>Отчет о результатах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Жантай Сартбаев</dc:creator>
  <cp:lastModifiedBy>Жантай Сартбаев</cp:lastModifiedBy>
  <dcterms:created xsi:type="dcterms:W3CDTF">2015-06-05T18:19:34Z</dcterms:created>
  <dcterms:modified xsi:type="dcterms:W3CDTF">2026-02-26T22:38:16Z</dcterms:modified>
</cp:coreProperties>
</file>