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https://d.docs.live.net/d0360a4e9aa2e6a7/Документы/1_МатМет/"/>
    </mc:Choice>
  </mc:AlternateContent>
  <xr:revisionPtr revIDLastSave="4" documentId="11_AD4DF75460589B3ACB7284F6879F73005BDEDDA7" xr6:coauthVersionLast="45" xr6:coauthVersionMax="45" xr10:uidLastSave="{AE867E44-CD31-4252-93DB-CE2CEB528CBC}"/>
  <bookViews>
    <workbookView xWindow="0" yWindow="0" windowWidth="13140" windowHeight="12240" firstSheet="2" activeTab="2" xr2:uid="{00000000-000D-0000-FFFF-FFFF00000000}"/>
  </bookViews>
  <sheets>
    <sheet name="Лист1" sheetId="1" r:id="rId1"/>
    <sheet name="Отчет о результатах 1" sheetId="2" r:id="rId2"/>
    <sheet name="Лист3" sheetId="3" r:id="rId3"/>
    <sheet name="Отчет о результатах 2" sheetId="4" r:id="rId4"/>
    <sheet name="Лист4" sheetId="5" r:id="rId5"/>
    <sheet name="Отчет о результатах 3" sheetId="6" r:id="rId6"/>
    <sheet name="Лист6" sheetId="7" r:id="rId7"/>
    <sheet name="Отчет о результатах 5" sheetId="9" r:id="rId8"/>
  </sheets>
  <definedNames>
    <definedName name="solver_adj" localSheetId="0" hidden="1">Лист1!$B$4:$C$4</definedName>
    <definedName name="solver_adj" localSheetId="2" hidden="1">Лист3!$B$2:$C$2</definedName>
    <definedName name="solver_adj" localSheetId="4" hidden="1">Лист4!$B$2:$C$2</definedName>
    <definedName name="solver_adj" localSheetId="6" hidden="1">Лист6!$B$2:$D$2</definedName>
    <definedName name="solver_cvg" localSheetId="0" hidden="1">0.0001</definedName>
    <definedName name="solver_cvg" localSheetId="2" hidden="1">0.0001</definedName>
    <definedName name="solver_cvg" localSheetId="4" hidden="1">0.0001</definedName>
    <definedName name="solver_cvg" localSheetId="6" hidden="1">0.0001</definedName>
    <definedName name="solver_drv" localSheetId="0" hidden="1">1</definedName>
    <definedName name="solver_drv" localSheetId="2" hidden="1">2</definedName>
    <definedName name="solver_drv" localSheetId="4" hidden="1">1</definedName>
    <definedName name="solver_drv" localSheetId="6" hidden="1">1</definedName>
    <definedName name="solver_eng" localSheetId="0" hidden="1">2</definedName>
    <definedName name="solver_eng" localSheetId="2" hidden="1">1</definedName>
    <definedName name="solver_eng" localSheetId="4" hidden="1">1</definedName>
    <definedName name="solver_eng" localSheetId="6" hidden="1">1</definedName>
    <definedName name="solver_est" localSheetId="0" hidden="1">1</definedName>
    <definedName name="solver_est" localSheetId="2" hidden="1">1</definedName>
    <definedName name="solver_est" localSheetId="4" hidden="1">1</definedName>
    <definedName name="solver_est" localSheetId="6" hidden="1">1</definedName>
    <definedName name="solver_itr" localSheetId="0" hidden="1">2147483647</definedName>
    <definedName name="solver_itr" localSheetId="2" hidden="1">2147483647</definedName>
    <definedName name="solver_itr" localSheetId="4" hidden="1">2147483647</definedName>
    <definedName name="solver_itr" localSheetId="6" hidden="1">2147483647</definedName>
    <definedName name="solver_lhs1" localSheetId="0" hidden="1">Лист1!$B$4:$C$4</definedName>
    <definedName name="solver_lhs1" localSheetId="2" hidden="1">Лист3!$B$2</definedName>
    <definedName name="solver_lhs1" localSheetId="4" hidden="1">Лист4!$E$4</definedName>
    <definedName name="solver_lhs1" localSheetId="6" hidden="1">Лист6!$C$2</definedName>
    <definedName name="solver_lhs2" localSheetId="0" hidden="1">Лист1!$F$12</definedName>
    <definedName name="solver_lhs2" localSheetId="2" hidden="1">Лист3!$B$2:$C$2</definedName>
    <definedName name="solver_lhs2" localSheetId="4" hidden="1">Лист4!$E$5</definedName>
    <definedName name="solver_lhs2" localSheetId="6" hidden="1">Лист6!$D$2</definedName>
    <definedName name="solver_lhs3" localSheetId="0" hidden="1">Лист1!$F$13</definedName>
    <definedName name="solver_lhs3" localSheetId="2" hidden="1">Лист3!$C$2</definedName>
    <definedName name="solver_lhs3" localSheetId="4" hidden="1">Лист4!$E$6</definedName>
    <definedName name="solver_lhs3" localSheetId="6" hidden="1">Лист6!$F$4</definedName>
    <definedName name="solver_lhs4" localSheetId="0" hidden="1">Лист1!$F$14</definedName>
    <definedName name="solver_lhs4" localSheetId="2" hidden="1">Лист3!$E$4</definedName>
    <definedName name="solver_lhs4" localSheetId="4" hidden="1">Лист4!$E$7</definedName>
    <definedName name="solver_lhs4" localSheetId="6" hidden="1">Лист6!$F$5</definedName>
    <definedName name="solver_lhs5" localSheetId="2" hidden="1">Лист3!$E$5</definedName>
    <definedName name="solver_lhs5" localSheetId="6" hidden="1">Лист6!$F$6</definedName>
    <definedName name="solver_lhs6" localSheetId="2" hidden="1">Лист3!$E$6</definedName>
    <definedName name="solver_lhs6" localSheetId="6" hidden="1">Лист6!$F$7</definedName>
    <definedName name="solver_mip" localSheetId="0" hidden="1">2147483647</definedName>
    <definedName name="solver_mip" localSheetId="2" hidden="1">2147483647</definedName>
    <definedName name="solver_mip" localSheetId="4" hidden="1">2147483647</definedName>
    <definedName name="solver_mip" localSheetId="6" hidden="1">2147483647</definedName>
    <definedName name="solver_mni" localSheetId="0" hidden="1">30</definedName>
    <definedName name="solver_mni" localSheetId="2" hidden="1">30</definedName>
    <definedName name="solver_mni" localSheetId="4" hidden="1">30</definedName>
    <definedName name="solver_mni" localSheetId="6" hidden="1">30</definedName>
    <definedName name="solver_mrt" localSheetId="0" hidden="1">0.075</definedName>
    <definedName name="solver_mrt" localSheetId="2" hidden="1">0.075</definedName>
    <definedName name="solver_mrt" localSheetId="4" hidden="1">0.075</definedName>
    <definedName name="solver_mrt" localSheetId="6" hidden="1">0.075</definedName>
    <definedName name="solver_msl" localSheetId="0" hidden="1">2</definedName>
    <definedName name="solver_msl" localSheetId="2" hidden="1">2</definedName>
    <definedName name="solver_msl" localSheetId="4" hidden="1">2</definedName>
    <definedName name="solver_msl" localSheetId="6" hidden="1">2</definedName>
    <definedName name="solver_neg" localSheetId="0" hidden="1">1</definedName>
    <definedName name="solver_neg" localSheetId="2" hidden="1">1</definedName>
    <definedName name="solver_neg" localSheetId="4" hidden="1">1</definedName>
    <definedName name="solver_neg" localSheetId="6" hidden="1">1</definedName>
    <definedName name="solver_nod" localSheetId="0" hidden="1">2147483647</definedName>
    <definedName name="solver_nod" localSheetId="2" hidden="1">2147483647</definedName>
    <definedName name="solver_nod" localSheetId="4" hidden="1">2147483647</definedName>
    <definedName name="solver_nod" localSheetId="6" hidden="1">2147483647</definedName>
    <definedName name="solver_num" localSheetId="0" hidden="1">4</definedName>
    <definedName name="solver_num" localSheetId="2" hidden="1">6</definedName>
    <definedName name="solver_num" localSheetId="4" hidden="1">4</definedName>
    <definedName name="solver_num" localSheetId="6" hidden="1">6</definedName>
    <definedName name="solver_nwt" localSheetId="0" hidden="1">1</definedName>
    <definedName name="solver_nwt" localSheetId="2" hidden="1">1</definedName>
    <definedName name="solver_nwt" localSheetId="4" hidden="1">1</definedName>
    <definedName name="solver_nwt" localSheetId="6" hidden="1">1</definedName>
    <definedName name="solver_opt" localSheetId="0" hidden="1">Лист1!$E$4</definedName>
    <definedName name="solver_opt" localSheetId="2" hidden="1">Лист3!$G$4</definedName>
    <definedName name="solver_opt" localSheetId="4" hidden="1">Лист4!$G$4</definedName>
    <definedName name="solver_opt" localSheetId="6" hidden="1">Лист6!$H$4</definedName>
    <definedName name="solver_pre" localSheetId="0" hidden="1">0.000001</definedName>
    <definedName name="solver_pre" localSheetId="2" hidden="1">0.000001</definedName>
    <definedName name="solver_pre" localSheetId="4" hidden="1">0.000001</definedName>
    <definedName name="solver_pre" localSheetId="6" hidden="1">0.000001</definedName>
    <definedName name="solver_rbv" localSheetId="0" hidden="1">1</definedName>
    <definedName name="solver_rbv" localSheetId="2" hidden="1">2</definedName>
    <definedName name="solver_rbv" localSheetId="4" hidden="1">1</definedName>
    <definedName name="solver_rbv" localSheetId="6" hidden="1">1</definedName>
    <definedName name="solver_rel1" localSheetId="0" hidden="1">4</definedName>
    <definedName name="solver_rel1" localSheetId="2" hidden="1">3</definedName>
    <definedName name="solver_rel1" localSheetId="4" hidden="1">1</definedName>
    <definedName name="solver_rel1" localSheetId="6" hidden="1">3</definedName>
    <definedName name="solver_rel2" localSheetId="0" hidden="1">1</definedName>
    <definedName name="solver_rel2" localSheetId="2" hidden="1">4</definedName>
    <definedName name="solver_rel2" localSheetId="4" hidden="1">1</definedName>
    <definedName name="solver_rel2" localSheetId="6" hidden="1">3</definedName>
    <definedName name="solver_rel3" localSheetId="0" hidden="1">1</definedName>
    <definedName name="solver_rel3" localSheetId="2" hidden="1">3</definedName>
    <definedName name="solver_rel3" localSheetId="4" hidden="1">1</definedName>
    <definedName name="solver_rel3" localSheetId="6" hidden="1">1</definedName>
    <definedName name="solver_rel4" localSheetId="0" hidden="1">1</definedName>
    <definedName name="solver_rel4" localSheetId="2" hidden="1">1</definedName>
    <definedName name="solver_rel4" localSheetId="4" hidden="1">1</definedName>
    <definedName name="solver_rel4" localSheetId="6" hidden="1">1</definedName>
    <definedName name="solver_rel5" localSheetId="2" hidden="1">1</definedName>
    <definedName name="solver_rel5" localSheetId="6" hidden="1">1</definedName>
    <definedName name="solver_rel6" localSheetId="2" hidden="1">1</definedName>
    <definedName name="solver_rel6" localSheetId="6" hidden="1">1</definedName>
    <definedName name="solver_rhs1" localSheetId="0" hidden="1">целое</definedName>
    <definedName name="solver_rhs1" localSheetId="2" hidden="1">140</definedName>
    <definedName name="solver_rhs1" localSheetId="4" hidden="1">Лист4!$F$4</definedName>
    <definedName name="solver_rhs1" localSheetId="6" hidden="1">Лист6!$C$10</definedName>
    <definedName name="solver_rhs2" localSheetId="0" hidden="1">Лист1!$E$12</definedName>
    <definedName name="solver_rhs2" localSheetId="2" hidden="1">целое</definedName>
    <definedName name="solver_rhs2" localSheetId="4" hidden="1">Лист4!$F$5</definedName>
    <definedName name="solver_rhs2" localSheetId="6" hidden="1">Лист6!$D$9</definedName>
    <definedName name="solver_rhs3" localSheetId="0" hidden="1">Лист1!$E$13</definedName>
    <definedName name="solver_rhs3" localSheetId="2" hidden="1">0</definedName>
    <definedName name="solver_rhs3" localSheetId="4" hidden="1">Лист4!$F$6</definedName>
    <definedName name="solver_rhs3" localSheetId="6" hidden="1">Лист6!$G$4</definedName>
    <definedName name="solver_rhs4" localSheetId="0" hidden="1">Лист1!$E$14</definedName>
    <definedName name="solver_rhs4" localSheetId="2" hidden="1">Лист3!$F$4</definedName>
    <definedName name="solver_rhs4" localSheetId="4" hidden="1">Лист4!$F$7</definedName>
    <definedName name="solver_rhs4" localSheetId="6" hidden="1">Лист6!$G$5</definedName>
    <definedName name="solver_rhs5" localSheetId="2" hidden="1">Лист3!$F$5</definedName>
    <definedName name="solver_rhs5" localSheetId="6" hidden="1">Лист6!$G$6</definedName>
    <definedName name="solver_rhs6" localSheetId="2" hidden="1">Лист3!$F$6</definedName>
    <definedName name="solver_rhs6" localSheetId="6" hidden="1">Лист6!$G$7</definedName>
    <definedName name="solver_rlx" localSheetId="0" hidden="1">2</definedName>
    <definedName name="solver_rlx" localSheetId="2" hidden="1">2</definedName>
    <definedName name="solver_rlx" localSheetId="4" hidden="1">2</definedName>
    <definedName name="solver_rlx" localSheetId="6" hidden="1">2</definedName>
    <definedName name="solver_rsd" localSheetId="0" hidden="1">0</definedName>
    <definedName name="solver_rsd" localSheetId="2" hidden="1">0</definedName>
    <definedName name="solver_rsd" localSheetId="4" hidden="1">0</definedName>
    <definedName name="solver_rsd" localSheetId="6" hidden="1">0</definedName>
    <definedName name="solver_scl" localSheetId="0" hidden="1">1</definedName>
    <definedName name="solver_scl" localSheetId="2" hidden="1">2</definedName>
    <definedName name="solver_scl" localSheetId="4" hidden="1">1</definedName>
    <definedName name="solver_scl" localSheetId="6" hidden="1">1</definedName>
    <definedName name="solver_sho" localSheetId="0" hidden="1">2</definedName>
    <definedName name="solver_sho" localSheetId="2" hidden="1">2</definedName>
    <definedName name="solver_sho" localSheetId="4" hidden="1">2</definedName>
    <definedName name="solver_sho" localSheetId="6" hidden="1">2</definedName>
    <definedName name="solver_ssz" localSheetId="0" hidden="1">100</definedName>
    <definedName name="solver_ssz" localSheetId="2" hidden="1">100</definedName>
    <definedName name="solver_ssz" localSheetId="4" hidden="1">100</definedName>
    <definedName name="solver_ssz" localSheetId="6" hidden="1">100</definedName>
    <definedName name="solver_tim" localSheetId="0" hidden="1">2147483647</definedName>
    <definedName name="solver_tim" localSheetId="2" hidden="1">2147483647</definedName>
    <definedName name="solver_tim" localSheetId="4" hidden="1">2147483647</definedName>
    <definedName name="solver_tim" localSheetId="6" hidden="1">2147483647</definedName>
    <definedName name="solver_tol" localSheetId="0" hidden="1">0.01</definedName>
    <definedName name="solver_tol" localSheetId="2" hidden="1">0.01</definedName>
    <definedName name="solver_tol" localSheetId="4" hidden="1">0.01</definedName>
    <definedName name="solver_tol" localSheetId="6" hidden="1">0.01</definedName>
    <definedName name="solver_typ" localSheetId="0" hidden="1">1</definedName>
    <definedName name="solver_typ" localSheetId="2" hidden="1">1</definedName>
    <definedName name="solver_typ" localSheetId="4" hidden="1">1</definedName>
    <definedName name="solver_typ" localSheetId="6" hidden="1">1</definedName>
    <definedName name="solver_val" localSheetId="0" hidden="1">0</definedName>
    <definedName name="solver_val" localSheetId="2" hidden="1">0</definedName>
    <definedName name="solver_val" localSheetId="4" hidden="1">0</definedName>
    <definedName name="solver_val" localSheetId="6" hidden="1">0</definedName>
    <definedName name="solver_ver" localSheetId="0" hidden="1">3</definedName>
    <definedName name="solver_ver" localSheetId="2" hidden="1">3</definedName>
    <definedName name="solver_ver" localSheetId="4" hidden="1">3</definedName>
    <definedName name="solver_ver" localSheetId="6" hidden="1">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" i="7" l="1"/>
  <c r="F5" i="7"/>
  <c r="F6" i="7"/>
  <c r="F7" i="7"/>
  <c r="F4" i="7"/>
  <c r="G4" i="5"/>
  <c r="E5" i="5"/>
  <c r="E6" i="5"/>
  <c r="E7" i="5"/>
  <c r="E4" i="5"/>
  <c r="E6" i="3" l="1"/>
  <c r="E5" i="3"/>
  <c r="E4" i="3"/>
  <c r="G4" i="3"/>
  <c r="F14" i="1" l="1"/>
  <c r="F13" i="1"/>
  <c r="F12" i="1"/>
  <c r="E4" i="1"/>
</calcChain>
</file>

<file path=xl/sharedStrings.xml><?xml version="1.0" encoding="utf-8"?>
<sst xmlns="http://schemas.openxmlformats.org/spreadsheetml/2006/main" count="278" uniqueCount="106">
  <si>
    <t>Лаб 1 Задача 1</t>
  </si>
  <si>
    <t>x1</t>
  </si>
  <si>
    <t>x2</t>
  </si>
  <si>
    <t>Целевая</t>
  </si>
  <si>
    <t>Прибыль</t>
  </si>
  <si>
    <t>Требуется для производства (система ограничений)</t>
  </si>
  <si>
    <t>Древесина1</t>
  </si>
  <si>
    <t>Древесина2</t>
  </si>
  <si>
    <t>Трудоемкость</t>
  </si>
  <si>
    <t>&lt;=</t>
  </si>
  <si>
    <t>макс</t>
  </si>
  <si>
    <t>x1 - стул</t>
  </si>
  <si>
    <t>x2 -  шкаф</t>
  </si>
  <si>
    <t>Microsoft Excel 16.0 Отчет о результатах</t>
  </si>
  <si>
    <t>Лист: [Лаба 3.xlsx]Лист1</t>
  </si>
  <si>
    <t>Отчет создан: 20.02.2026 15:29:02</t>
  </si>
  <si>
    <t>Результат: Целочисленное решение найдено в пределах допустимого отклонения. Все ограничения выполнены.</t>
  </si>
  <si>
    <t>Модуль поиска решения</t>
  </si>
  <si>
    <t>Модуль: Поиск решения лин. задач симплекс-методом</t>
  </si>
  <si>
    <t>Время решения: 0,031 секунд.</t>
  </si>
  <si>
    <t>Число итераций: 1 Число подзадач: 4</t>
  </si>
  <si>
    <t>Параметры поиска решения</t>
  </si>
  <si>
    <t>Максимальное время Без пределов,  Число итераций Без пределов, Precision 0,000001, Использовать автоматическое масштабирование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</si>
  <si>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</si>
  <si>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(Максимум)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</si>
  <si>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</si>
  <si>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</si>
  <si>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</si>
  <si>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</si>
  <si>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</si>
  <si>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</si>
  <si>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Ограничения</t>
  </si>
  <si>
    <t>Значение ячейки</t>
  </si>
  <si>
    <t>Формула</t>
  </si>
  <si>
    <t>Состояние</t>
  </si>
  <si>
    <t>Допуск</t>
  </si>
  <si>
    <t>$E$4</t>
  </si>
  <si>
    <t>$B$4</t>
  </si>
  <si>
    <t>$C$4</t>
  </si>
  <si>
    <t>$F$12</t>
  </si>
  <si>
    <t>&lt;= макс</t>
  </si>
  <si>
    <t>$F$12&lt;=$E$12</t>
  </si>
  <si>
    <t>Без привязки</t>
  </si>
  <si>
    <t>$F$13</t>
  </si>
  <si>
    <t>$F$13&lt;=$E$13</t>
  </si>
  <si>
    <t>$F$14</t>
  </si>
  <si>
    <t>$F$14&lt;=$E$14</t>
  </si>
  <si>
    <t>Привязка</t>
  </si>
  <si>
    <t>$B$4:$C$4=Целочисленное</t>
  </si>
  <si>
    <t>Лаб 3 Задача 2</t>
  </si>
  <si>
    <t>Вид</t>
  </si>
  <si>
    <t>Оборудование 1</t>
  </si>
  <si>
    <t>Оборудование 2</t>
  </si>
  <si>
    <t>Оборудование 3</t>
  </si>
  <si>
    <t>Ограничение</t>
  </si>
  <si>
    <t>&gt;=140</t>
  </si>
  <si>
    <t>&gt;=0</t>
  </si>
  <si>
    <t>Лист: [Лаба 3.xlsx]Лист3</t>
  </si>
  <si>
    <t>Отчет создан: 21.02.2026 20:03:22</t>
  </si>
  <si>
    <t>Результат: Решение найдено. Все ограничения и условия оптимальности выполнены.</t>
  </si>
  <si>
    <t>Модуль: Поиск решения нелинейных задач методом ОПГ</t>
  </si>
  <si>
    <t>Время решения: 0,015 секунд.</t>
  </si>
  <si>
    <t>Число итераций: 0 Число подзадач: 0</t>
  </si>
  <si>
    <t>Максимальное время Без пределов,  Число итераций Без пределов, Precision 0,000001</t>
  </si>
  <si>
    <t xml:space="preserve"> Сходимость 0,0001, Размер совокупности 100, Случайное начальное значение 0, Центральные производные</t>
  </si>
  <si>
    <t>$G$4</t>
  </si>
  <si>
    <t>&lt;= Целевая</t>
  </si>
  <si>
    <t>$B$2</t>
  </si>
  <si>
    <t>Продолжить</t>
  </si>
  <si>
    <t>$C$2</t>
  </si>
  <si>
    <t>$E$4&lt;=$F$4</t>
  </si>
  <si>
    <t>$E$5</t>
  </si>
  <si>
    <t>$E$5&lt;=$F$5</t>
  </si>
  <si>
    <t>$E$6</t>
  </si>
  <si>
    <t>$E$6&lt;=$F$6</t>
  </si>
  <si>
    <t>$B$2&gt;=140</t>
  </si>
  <si>
    <t>$C$2&gt;=0</t>
  </si>
  <si>
    <t>Лаб 3 Задача 3</t>
  </si>
  <si>
    <t>S1</t>
  </si>
  <si>
    <t>S2</t>
  </si>
  <si>
    <t>S</t>
  </si>
  <si>
    <t>S4</t>
  </si>
  <si>
    <t>Лист: [Лаба 3.xlsx]Лист4</t>
  </si>
  <si>
    <t>Отчет создан: 21.02.2026 20:21:24</t>
  </si>
  <si>
    <t>Время решения: 0,016 секунд.</t>
  </si>
  <si>
    <t xml:space="preserve"> Сходимость 0,0001, Размер совокупности 100, Случайное начальное значение 0, Правые производные, Обязательные границы</t>
  </si>
  <si>
    <t>$E$7</t>
  </si>
  <si>
    <t>$E$7&lt;=$F$7</t>
  </si>
  <si>
    <t>x3</t>
  </si>
  <si>
    <t>Лист: [Лаба 3.xlsx]Лист6</t>
  </si>
  <si>
    <t>$H$4</t>
  </si>
  <si>
    <t>$D$2</t>
  </si>
  <si>
    <t>$F$4</t>
  </si>
  <si>
    <t>$F$4&lt;=$G$4</t>
  </si>
  <si>
    <t>$F$5</t>
  </si>
  <si>
    <t>$F$5&lt;=$G$5</t>
  </si>
  <si>
    <t>$F$6</t>
  </si>
  <si>
    <t>$F$6&lt;=$G$6</t>
  </si>
  <si>
    <t>$F$7</t>
  </si>
  <si>
    <t>$F$7&lt;=$G$7</t>
  </si>
  <si>
    <t>$C$2&gt;=$C$10</t>
  </si>
  <si>
    <t>$D$2&gt;=$D$9</t>
  </si>
  <si>
    <t>$B$2:$D$2</t>
  </si>
  <si>
    <t>Отчет создан: 21.02.2026 20:35:37</t>
  </si>
  <si>
    <t>Лаб 3 Задача 4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</si>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</sst>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0" borderId="2" xfId="0" applyFill="1" applyBorder="1" applyAlignment="1"/>
    <xf numFmtId="0" fontId="2" fillId="0" borderId="1" xfId="0" applyFont="1" applyFill="1" applyBorder="1" applyAlignment="1">
      <alignment horizontal="center"/>
    </xf>
    <xf numFmtId="0" fontId="0" fillId="0" borderId="3" xfId="0" applyFill="1" applyBorder="1" applyAlignment="1"/>
    <xf numFmtId="1" fontId="0" fillId="0" borderId="2" xfId="0" applyNumberFormat="1" applyFill="1" applyBorder="1" applyAlignment="1"/>
    <xf numFmtId="1" fontId="0" fillId="0" borderId="3" xfId="0" applyNumberFormat="1" applyFill="1" applyBorder="1" applyAlignment="1"/>
    <xf numFmtId="164" fontId="0" fillId="0" borderId="3" xfId="0" applyNumberFormat="1" applyFill="1" applyBorder="1" applyAlignment="1"/>
    <xf numFmtId="0" fontId="0" fillId="0" borderId="3" xfId="0" applyNumberFormat="1" applyFill="1" applyBorder="1" applyAlignment="1"/>
    <xf numFmtId="0" fontId="3" fillId="0" borderId="1" xfId="0" applyFont="1" applyFill="1" applyBorder="1" applyAlignment="1">
      <alignment horizontal="center"/>
    </xf>
    <xf numFmtId="0" fontId="0" fillId="0" borderId="0" xfId="0" applyFill="1" applyBorder="1" applyAlignment="1"/>
    <xf numFmtId="164" fontId="0" fillId="0" borderId="2" xfId="0" applyNumberFormat="1" applyFill="1" applyBorder="1" applyAlignment="1"/>
    <xf numFmtId="0" fontId="0" fillId="0" borderId="5" xfId="0" applyBorder="1"/>
    <xf numFmtId="0" fontId="0" fillId="0" borderId="6" xfId="0" applyBorder="1"/>
    <xf numFmtId="164" fontId="0" fillId="0" borderId="5" xfId="0" applyNumberFormat="1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164" fontId="0" fillId="0" borderId="10" xfId="0" applyNumberFormat="1" applyBorder="1"/>
    <xf numFmtId="0" fontId="0" fillId="0" borderId="11" xfId="0" applyBorder="1"/>
    <xf numFmtId="164" fontId="0" fillId="0" borderId="6" xfId="0" applyNumberFormat="1" applyBorder="1"/>
    <xf numFmtId="0" fontId="0" fillId="0" borderId="12" xfId="0" applyBorder="1"/>
    <xf numFmtId="0" fontId="0" fillId="0" borderId="13" xfId="0" applyBorder="1"/>
    <xf numFmtId="0" fontId="0" fillId="0" borderId="4" xfId="0" applyBorder="1"/>
    <xf numFmtId="0" fontId="0" fillId="0" borderId="4" xfId="0" applyFill="1" applyBorder="1"/>
    <xf numFmtId="1" fontId="0" fillId="0" borderId="5" xfId="0" applyNumberFormat="1" applyBorder="1"/>
    <xf numFmtId="1" fontId="0" fillId="0" borderId="11" xfId="0" applyNumberFormat="1" applyBorder="1"/>
    <xf numFmtId="0" fontId="0" fillId="0" borderId="2" xfId="0" applyNumberFormat="1" applyFill="1" applyBorder="1" applyAlignment="1"/>
    <xf numFmtId="0" fontId="0" fillId="0" borderId="7" xfId="0" applyFill="1" applyBorder="1"/>
    <xf numFmtId="0" fontId="0" fillId="0" borderId="9" xfId="0" applyFill="1" applyBorder="1"/>
    <xf numFmtId="1" fontId="0" fillId="0" borderId="0" xfId="0" applyNumberFormat="1" applyFill="1" applyBorder="1" applyAlignment="1"/>
    <xf numFmtId="0" fontId="3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601980</xdr:colOff>
      <xdr:row>0</xdr:row>
      <xdr:rowOff>0</xdr:rowOff>
    </xdr:from>
    <xdr:to>
      <xdr:col>15</xdr:col>
      <xdr:colOff>317041</xdr:colOff>
      <xdr:row>11</xdr:row>
      <xdr:rowOff>122218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9B1592B-84BB-4C4F-9919-3756D1FC3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0040" y="0"/>
          <a:ext cx="5811061" cy="2133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H15" sqref="H15"/>
    </sheetView>
  </sheetViews>
  <sheetFormatPr defaultRowHeight="14.4" x14ac:dyDescent="0.3"/>
  <cols>
    <col min="1" max="1" width="14" customWidth="1"/>
    <col min="5" max="5" width="10.77734375" customWidth="1"/>
  </cols>
  <sheetData>
    <row r="1" spans="1:6" x14ac:dyDescent="0.3">
      <c r="A1" t="s">
        <v>0</v>
      </c>
    </row>
    <row r="3" spans="1:6" x14ac:dyDescent="0.3">
      <c r="B3" t="s">
        <v>11</v>
      </c>
      <c r="C3" t="s">
        <v>12</v>
      </c>
      <c r="E3" t="s">
        <v>3</v>
      </c>
    </row>
    <row r="4" spans="1:6" x14ac:dyDescent="0.3">
      <c r="B4" s="2">
        <v>103</v>
      </c>
      <c r="C4" s="2">
        <v>165</v>
      </c>
      <c r="E4" s="2">
        <f>SUMPRODUCT(B5:C5,B4:C4)</f>
        <v>2103</v>
      </c>
      <c r="F4" t="s">
        <v>10</v>
      </c>
    </row>
    <row r="5" spans="1:6" x14ac:dyDescent="0.3">
      <c r="A5" t="s">
        <v>4</v>
      </c>
      <c r="B5">
        <v>6</v>
      </c>
      <c r="C5">
        <v>9</v>
      </c>
    </row>
    <row r="10" spans="1:6" x14ac:dyDescent="0.3">
      <c r="A10" s="37" t="s">
        <v>5</v>
      </c>
      <c r="B10" s="37"/>
      <c r="C10" s="37"/>
      <c r="D10" s="37"/>
      <c r="E10" s="37"/>
    </row>
    <row r="11" spans="1:6" x14ac:dyDescent="0.3">
      <c r="B11" t="s">
        <v>1</v>
      </c>
      <c r="C11" t="s">
        <v>2</v>
      </c>
    </row>
    <row r="12" spans="1:6" x14ac:dyDescent="0.3">
      <c r="A12" t="s">
        <v>6</v>
      </c>
      <c r="B12">
        <v>0.2</v>
      </c>
      <c r="C12">
        <v>0.1</v>
      </c>
      <c r="D12" t="s">
        <v>9</v>
      </c>
      <c r="E12">
        <v>40</v>
      </c>
      <c r="F12" s="1">
        <f>SUMPRODUCT(B12:C12,B4:C4)</f>
        <v>37.1</v>
      </c>
    </row>
    <row r="13" spans="1:6" x14ac:dyDescent="0.3">
      <c r="A13" t="s">
        <v>7</v>
      </c>
      <c r="B13">
        <v>0.1</v>
      </c>
      <c r="C13">
        <v>0.3</v>
      </c>
      <c r="D13" t="s">
        <v>9</v>
      </c>
      <c r="E13">
        <v>60</v>
      </c>
      <c r="F13">
        <f>SUMPRODUCT(B13:C13,B4:C4)</f>
        <v>59.8</v>
      </c>
    </row>
    <row r="14" spans="1:6" x14ac:dyDescent="0.3">
      <c r="A14" t="s">
        <v>8</v>
      </c>
      <c r="B14">
        <v>1.2</v>
      </c>
      <c r="C14">
        <v>1.5</v>
      </c>
      <c r="D14" t="s">
        <v>9</v>
      </c>
      <c r="E14">
        <v>371.1</v>
      </c>
      <c r="F14">
        <f>SUMPRODUCT(B14:C14,B4:C4)</f>
        <v>371.1</v>
      </c>
    </row>
  </sheetData>
  <mergeCells count="1">
    <mergeCell ref="A10:E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9EBA-ADAB-41B9-BCD4-2753188363ED}">
  <dimension ref="A1:G30"/>
  <sheetViews>
    <sheetView showGridLines="0" topLeftCell="A2" workbookViewId="0"/>
  </sheetViews>
  <sheetFormatPr defaultRowHeight="14.4" outlineLevelRow="1" x14ac:dyDescent="0.3"/>
  <cols>
    <col min="1" max="1" width="2.33203125" customWidth="1"/>
    <col min="2" max="2" width="24.77734375" bestFit="1" customWidth="1"/>
    <col min="3" max="3" width="9.4414062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3" t="s">
        <v>13</v>
      </c>
    </row>
    <row r="2" spans="1:5" x14ac:dyDescent="0.3">
      <c r="A2" s="3" t="s">
        <v>14</v>
      </c>
    </row>
    <row r="3" spans="1:5" x14ac:dyDescent="0.3">
      <c r="A3" s="3" t="s">
        <v>15</v>
      </c>
    </row>
    <row r="4" spans="1:5" x14ac:dyDescent="0.3">
      <c r="A4" s="3" t="s">
        <v>16</v>
      </c>
    </row>
    <row r="5" spans="1:5" x14ac:dyDescent="0.3">
      <c r="A5" s="3" t="s">
        <v>17</v>
      </c>
    </row>
    <row r="6" spans="1:5" hidden="1" outlineLevel="1" x14ac:dyDescent="0.3">
      <c r="A6" s="3"/>
      <c r="B6" t="s">
        <v>18</v>
      </c>
    </row>
    <row r="7" spans="1:5" hidden="1" outlineLevel="1" x14ac:dyDescent="0.3">
      <c r="A7" s="3"/>
      <c r="B7" t="s">
        <v>19</v>
      </c>
    </row>
    <row r="8" spans="1:5" hidden="1" outlineLevel="1" x14ac:dyDescent="0.3">
      <c r="A8" s="3"/>
      <c r="B8" t="s">
        <v>20</v>
      </c>
    </row>
    <row r="9" spans="1:5" collapsed="1" x14ac:dyDescent="0.3">
      <c r="A9" s="3" t="s">
        <v>21</v>
      </c>
    </row>
    <row r="10" spans="1:5" hidden="1" outlineLevel="1" x14ac:dyDescent="0.3">
      <c r="B10" t="s">
        <v>22</v>
      </c>
    </row>
    <row r="11" spans="1:5" hidden="1" outlineLevel="1" x14ac:dyDescent="0.3">
      <c r="B11" t="s">
        <v>23</v>
      </c>
    </row>
    <row r="12" spans="1:5" collapsed="1" x14ac:dyDescent="0.3"/>
    <row r="14" spans="1:5" ht="15" thickBot="1" x14ac:dyDescent="0.35">
      <c r="A14" t="s">
        <v>24</v>
      </c>
    </row>
    <row r="15" spans="1:5" ht="15" thickBot="1" x14ac:dyDescent="0.35">
      <c r="B15" s="5" t="s">
        <v>25</v>
      </c>
      <c r="C15" s="5" t="s">
        <v>26</v>
      </c>
      <c r="D15" s="5" t="s">
        <v>27</v>
      </c>
      <c r="E15" s="5" t="s">
        <v>28</v>
      </c>
    </row>
    <row r="16" spans="1:5" ht="15" thickBot="1" x14ac:dyDescent="0.35">
      <c r="B16" s="4" t="s">
        <v>36</v>
      </c>
      <c r="C16" s="4" t="s">
        <v>3</v>
      </c>
      <c r="D16" s="7">
        <v>2103</v>
      </c>
      <c r="E16" s="7">
        <v>2103</v>
      </c>
    </row>
    <row r="19" spans="1:7" ht="15" thickBot="1" x14ac:dyDescent="0.35">
      <c r="A19" t="s">
        <v>29</v>
      </c>
    </row>
    <row r="20" spans="1:7" ht="15" thickBot="1" x14ac:dyDescent="0.35">
      <c r="B20" s="5" t="s">
        <v>25</v>
      </c>
      <c r="C20" s="5" t="s">
        <v>26</v>
      </c>
      <c r="D20" s="5" t="s">
        <v>27</v>
      </c>
      <c r="E20" s="5" t="s">
        <v>28</v>
      </c>
      <c r="F20" s="5" t="s">
        <v>30</v>
      </c>
    </row>
    <row r="21" spans="1:7" x14ac:dyDescent="0.3">
      <c r="B21" s="6" t="s">
        <v>37</v>
      </c>
      <c r="C21" s="6" t="s">
        <v>11</v>
      </c>
      <c r="D21" s="8">
        <v>103</v>
      </c>
      <c r="E21" s="8">
        <v>103</v>
      </c>
      <c r="F21" s="6" t="s">
        <v>30</v>
      </c>
    </row>
    <row r="22" spans="1:7" ht="15" thickBot="1" x14ac:dyDescent="0.35">
      <c r="B22" s="4" t="s">
        <v>38</v>
      </c>
      <c r="C22" s="4" t="s">
        <v>12</v>
      </c>
      <c r="D22" s="7">
        <v>165</v>
      </c>
      <c r="E22" s="7">
        <v>165</v>
      </c>
      <c r="F22" s="4" t="s">
        <v>30</v>
      </c>
    </row>
    <row r="25" spans="1:7" ht="15" thickBot="1" x14ac:dyDescent="0.35">
      <c r="A25" t="s">
        <v>31</v>
      </c>
    </row>
    <row r="26" spans="1:7" ht="15" thickBot="1" x14ac:dyDescent="0.35">
      <c r="B26" s="5" t="s">
        <v>25</v>
      </c>
      <c r="C26" s="5" t="s">
        <v>26</v>
      </c>
      <c r="D26" s="5" t="s">
        <v>32</v>
      </c>
      <c r="E26" s="5" t="s">
        <v>33</v>
      </c>
      <c r="F26" s="5" t="s">
        <v>34</v>
      </c>
      <c r="G26" s="5" t="s">
        <v>35</v>
      </c>
    </row>
    <row r="27" spans="1:7" x14ac:dyDescent="0.3">
      <c r="B27" s="6" t="s">
        <v>39</v>
      </c>
      <c r="C27" s="6" t="s">
        <v>40</v>
      </c>
      <c r="D27" s="9">
        <v>37.1</v>
      </c>
      <c r="E27" s="6" t="s">
        <v>41</v>
      </c>
      <c r="F27" s="6" t="s">
        <v>42</v>
      </c>
      <c r="G27" s="6">
        <v>2.8999999999999986</v>
      </c>
    </row>
    <row r="28" spans="1:7" x14ac:dyDescent="0.3">
      <c r="B28" s="6" t="s">
        <v>43</v>
      </c>
      <c r="C28" s="6" t="s">
        <v>40</v>
      </c>
      <c r="D28" s="10">
        <v>59.8</v>
      </c>
      <c r="E28" s="6" t="s">
        <v>44</v>
      </c>
      <c r="F28" s="6" t="s">
        <v>42</v>
      </c>
      <c r="G28" s="6">
        <v>0.20000000000000284</v>
      </c>
    </row>
    <row r="29" spans="1:7" x14ac:dyDescent="0.3">
      <c r="B29" s="6" t="s">
        <v>45</v>
      </c>
      <c r="C29" s="6" t="s">
        <v>40</v>
      </c>
      <c r="D29" s="10">
        <v>371.1</v>
      </c>
      <c r="E29" s="6" t="s">
        <v>46</v>
      </c>
      <c r="F29" s="6" t="s">
        <v>47</v>
      </c>
      <c r="G29" s="6">
        <v>0</v>
      </c>
    </row>
    <row r="30" spans="1:7" ht="15" thickBot="1" x14ac:dyDescent="0.35">
      <c r="B30" s="4" t="s">
        <v>48</v>
      </c>
      <c r="C30" s="4"/>
      <c r="D30" s="4"/>
      <c r="E30" s="4"/>
      <c r="F30" s="4"/>
      <c r="G30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1F387-849D-4E02-BEF0-5C3BF980ADD1}">
  <dimension ref="A1:H8"/>
  <sheetViews>
    <sheetView tabSelected="1" workbookViewId="0">
      <selection activeCell="G4" sqref="G4"/>
    </sheetView>
  </sheetViews>
  <sheetFormatPr defaultRowHeight="14.4" x14ac:dyDescent="0.3"/>
  <cols>
    <col min="1" max="1" width="16.109375" customWidth="1"/>
    <col min="3" max="3" width="9.44140625" bestFit="1" customWidth="1"/>
  </cols>
  <sheetData>
    <row r="1" spans="1:8" x14ac:dyDescent="0.3">
      <c r="A1" t="s">
        <v>49</v>
      </c>
    </row>
    <row r="2" spans="1:8" x14ac:dyDescent="0.3">
      <c r="B2" s="14">
        <v>140</v>
      </c>
      <c r="C2" s="16">
        <v>128</v>
      </c>
    </row>
    <row r="3" spans="1:8" x14ac:dyDescent="0.3">
      <c r="A3" s="14" t="s">
        <v>50</v>
      </c>
      <c r="B3" s="17" t="s">
        <v>1</v>
      </c>
      <c r="C3" s="17" t="s">
        <v>2</v>
      </c>
      <c r="G3" s="14" t="s">
        <v>3</v>
      </c>
      <c r="H3" t="s">
        <v>105</v>
      </c>
    </row>
    <row r="4" spans="1:8" x14ac:dyDescent="0.3">
      <c r="A4" s="14" t="s">
        <v>51</v>
      </c>
      <c r="B4" s="18">
        <v>7</v>
      </c>
      <c r="C4" s="18">
        <v>3</v>
      </c>
      <c r="D4" s="18" t="s">
        <v>9</v>
      </c>
      <c r="E4" s="18">
        <f>SUMPRODUCT(B4:C4,B2:C2)</f>
        <v>1364</v>
      </c>
      <c r="F4" s="18">
        <v>1365</v>
      </c>
      <c r="G4" s="24">
        <f>SUMPRODUCT(B7:C7,B2:C2)</f>
        <v>1480</v>
      </c>
    </row>
    <row r="5" spans="1:8" x14ac:dyDescent="0.3">
      <c r="A5" s="27" t="s">
        <v>52</v>
      </c>
      <c r="B5" s="19">
        <v>6</v>
      </c>
      <c r="C5" s="19">
        <v>3</v>
      </c>
      <c r="D5" s="19" t="s">
        <v>9</v>
      </c>
      <c r="E5" s="19">
        <f>SUMPRODUCT(B5:C5,B2:C2)</f>
        <v>1224</v>
      </c>
      <c r="F5" s="20">
        <v>1245</v>
      </c>
    </row>
    <row r="6" spans="1:8" x14ac:dyDescent="0.3">
      <c r="A6" s="15" t="s">
        <v>53</v>
      </c>
      <c r="B6" s="21">
        <v>1</v>
      </c>
      <c r="C6" s="21">
        <v>2</v>
      </c>
      <c r="D6" s="21" t="s">
        <v>9</v>
      </c>
      <c r="E6" s="22">
        <f>SUMPRODUCT(B6:C6,B2:C2)</f>
        <v>396</v>
      </c>
      <c r="F6" s="23">
        <v>650</v>
      </c>
    </row>
    <row r="7" spans="1:8" x14ac:dyDescent="0.3">
      <c r="A7" s="27" t="s">
        <v>4</v>
      </c>
      <c r="B7" s="25">
        <v>6</v>
      </c>
      <c r="C7" s="26">
        <v>5</v>
      </c>
    </row>
    <row r="8" spans="1:8" x14ac:dyDescent="0.3">
      <c r="A8" s="27" t="s">
        <v>54</v>
      </c>
      <c r="B8" s="25" t="s">
        <v>55</v>
      </c>
      <c r="C8" s="26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B40CE-AF53-432B-9BB5-2093CF15E008}">
  <dimension ref="A1:G31"/>
  <sheetViews>
    <sheetView showGridLines="0" workbookViewId="0">
      <selection activeCell="D31" sqref="D31"/>
    </sheetView>
  </sheetViews>
  <sheetFormatPr defaultRowHeight="14.4" outlineLevelRow="1" x14ac:dyDescent="0.3"/>
  <cols>
    <col min="1" max="1" width="2.33203125" customWidth="1"/>
    <col min="2" max="2" width="7.21875" bestFit="1" customWidth="1"/>
    <col min="3" max="3" width="10.7773437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12" bestFit="1" customWidth="1"/>
  </cols>
  <sheetData>
    <row r="1" spans="1:5" x14ac:dyDescent="0.3">
      <c r="A1" s="3" t="s">
        <v>13</v>
      </c>
    </row>
    <row r="2" spans="1:5" x14ac:dyDescent="0.3">
      <c r="A2" s="3" t="s">
        <v>57</v>
      </c>
    </row>
    <row r="3" spans="1:5" x14ac:dyDescent="0.3">
      <c r="A3" s="3" t="s">
        <v>58</v>
      </c>
    </row>
    <row r="4" spans="1:5" x14ac:dyDescent="0.3">
      <c r="A4" s="3" t="s">
        <v>59</v>
      </c>
    </row>
    <row r="5" spans="1:5" x14ac:dyDescent="0.3">
      <c r="A5" s="3" t="s">
        <v>17</v>
      </c>
    </row>
    <row r="6" spans="1:5" hidden="1" outlineLevel="1" x14ac:dyDescent="0.3">
      <c r="A6" s="3"/>
      <c r="B6" t="s">
        <v>60</v>
      </c>
    </row>
    <row r="7" spans="1:5" hidden="1" outlineLevel="1" x14ac:dyDescent="0.3">
      <c r="A7" s="3"/>
      <c r="B7" t="s">
        <v>61</v>
      </c>
    </row>
    <row r="8" spans="1:5" hidden="1" outlineLevel="1" x14ac:dyDescent="0.3">
      <c r="A8" s="3"/>
      <c r="B8" t="s">
        <v>62</v>
      </c>
    </row>
    <row r="9" spans="1:5" collapsed="1" x14ac:dyDescent="0.3">
      <c r="A9" s="3" t="s">
        <v>21</v>
      </c>
    </row>
    <row r="10" spans="1:5" hidden="1" outlineLevel="1" x14ac:dyDescent="0.3">
      <c r="B10" t="s">
        <v>63</v>
      </c>
    </row>
    <row r="11" spans="1:5" hidden="1" outlineLevel="1" x14ac:dyDescent="0.3">
      <c r="B11" t="s">
        <v>64</v>
      </c>
    </row>
    <row r="12" spans="1:5" hidden="1" outlineLevel="1" x14ac:dyDescent="0.3">
      <c r="B12" t="s">
        <v>23</v>
      </c>
    </row>
    <row r="13" spans="1:5" collapsed="1" x14ac:dyDescent="0.3"/>
    <row r="14" spans="1:5" ht="15" thickBot="1" x14ac:dyDescent="0.35">
      <c r="A14" t="s">
        <v>24</v>
      </c>
    </row>
    <row r="15" spans="1:5" ht="15" thickBot="1" x14ac:dyDescent="0.35">
      <c r="B15" s="11" t="s">
        <v>25</v>
      </c>
      <c r="C15" s="11" t="s">
        <v>26</v>
      </c>
      <c r="D15" s="11" t="s">
        <v>27</v>
      </c>
      <c r="E15" s="11" t="s">
        <v>28</v>
      </c>
    </row>
    <row r="16" spans="1:5" ht="15" thickBot="1" x14ac:dyDescent="0.35">
      <c r="B16" s="4" t="s">
        <v>65</v>
      </c>
      <c r="C16" s="4" t="s">
        <v>66</v>
      </c>
      <c r="D16" s="13">
        <v>1481.6666666666665</v>
      </c>
      <c r="E16" s="13">
        <v>1481.6666666666665</v>
      </c>
    </row>
    <row r="19" spans="1:7" ht="15" thickBot="1" x14ac:dyDescent="0.35">
      <c r="A19" t="s">
        <v>29</v>
      </c>
    </row>
    <row r="20" spans="1:7" ht="15" thickBot="1" x14ac:dyDescent="0.35">
      <c r="B20" s="11" t="s">
        <v>25</v>
      </c>
      <c r="C20" s="11" t="s">
        <v>26</v>
      </c>
      <c r="D20" s="11" t="s">
        <v>27</v>
      </c>
      <c r="E20" s="11" t="s">
        <v>28</v>
      </c>
      <c r="F20" s="11" t="s">
        <v>30</v>
      </c>
    </row>
    <row r="21" spans="1:7" x14ac:dyDescent="0.3">
      <c r="B21" s="6" t="s">
        <v>67</v>
      </c>
      <c r="C21" s="6"/>
      <c r="D21" s="10">
        <v>140</v>
      </c>
      <c r="E21" s="10">
        <v>140</v>
      </c>
      <c r="F21" s="6" t="s">
        <v>68</v>
      </c>
    </row>
    <row r="22" spans="1:7" ht="15" thickBot="1" x14ac:dyDescent="0.35">
      <c r="B22" s="4" t="s">
        <v>69</v>
      </c>
      <c r="C22" s="4"/>
      <c r="D22" s="13">
        <v>128.33333333333331</v>
      </c>
      <c r="E22" s="13">
        <v>128.33333333333331</v>
      </c>
      <c r="F22" s="4" t="s">
        <v>68</v>
      </c>
    </row>
    <row r="25" spans="1:7" ht="15" thickBot="1" x14ac:dyDescent="0.35">
      <c r="A25" t="s">
        <v>31</v>
      </c>
    </row>
    <row r="26" spans="1:7" ht="15" thickBot="1" x14ac:dyDescent="0.35">
      <c r="B26" s="11" t="s">
        <v>25</v>
      </c>
      <c r="C26" s="11" t="s">
        <v>26</v>
      </c>
      <c r="D26" s="11" t="s">
        <v>32</v>
      </c>
      <c r="E26" s="11" t="s">
        <v>33</v>
      </c>
      <c r="F26" s="11" t="s">
        <v>34</v>
      </c>
      <c r="G26" s="11" t="s">
        <v>35</v>
      </c>
    </row>
    <row r="27" spans="1:7" x14ac:dyDescent="0.3">
      <c r="B27" s="6" t="s">
        <v>36</v>
      </c>
      <c r="C27" s="6" t="s">
        <v>9</v>
      </c>
      <c r="D27" s="10">
        <v>1365</v>
      </c>
      <c r="E27" s="6" t="s">
        <v>70</v>
      </c>
      <c r="F27" s="6" t="s">
        <v>47</v>
      </c>
      <c r="G27" s="6">
        <v>0</v>
      </c>
    </row>
    <row r="28" spans="1:7" x14ac:dyDescent="0.3">
      <c r="B28" s="6" t="s">
        <v>71</v>
      </c>
      <c r="C28" s="6" t="s">
        <v>9</v>
      </c>
      <c r="D28" s="10">
        <v>1225</v>
      </c>
      <c r="E28" s="6" t="s">
        <v>72</v>
      </c>
      <c r="F28" s="6" t="s">
        <v>42</v>
      </c>
      <c r="G28" s="6">
        <v>20</v>
      </c>
    </row>
    <row r="29" spans="1:7" x14ac:dyDescent="0.3">
      <c r="B29" s="6" t="s">
        <v>73</v>
      </c>
      <c r="C29" s="6" t="s">
        <v>9</v>
      </c>
      <c r="D29" s="9">
        <v>396.66666666666663</v>
      </c>
      <c r="E29" s="6" t="s">
        <v>74</v>
      </c>
      <c r="F29" s="6" t="s">
        <v>42</v>
      </c>
      <c r="G29" s="6">
        <v>253.33333333333337</v>
      </c>
    </row>
    <row r="30" spans="1:7" x14ac:dyDescent="0.3">
      <c r="B30" s="6" t="s">
        <v>67</v>
      </c>
      <c r="C30" s="6"/>
      <c r="D30" s="10">
        <v>140</v>
      </c>
      <c r="E30" s="6" t="s">
        <v>75</v>
      </c>
      <c r="F30" s="6" t="s">
        <v>47</v>
      </c>
      <c r="G30" s="10">
        <v>0</v>
      </c>
    </row>
    <row r="31" spans="1:7" ht="15" thickBot="1" x14ac:dyDescent="0.35">
      <c r="B31" s="4" t="s">
        <v>69</v>
      </c>
      <c r="C31" s="4"/>
      <c r="D31" s="13">
        <v>128.33333333333331</v>
      </c>
      <c r="E31" s="4" t="s">
        <v>76</v>
      </c>
      <c r="F31" s="4" t="s">
        <v>42</v>
      </c>
      <c r="G31" s="13">
        <v>128.33333333333331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EF88D-613D-46CB-985B-0FA2A6906813}">
  <dimension ref="A1:G8"/>
  <sheetViews>
    <sheetView workbookViewId="0">
      <selection activeCell="B2" sqref="B2"/>
    </sheetView>
  </sheetViews>
  <sheetFormatPr defaultRowHeight="14.4" x14ac:dyDescent="0.3"/>
  <cols>
    <col min="1" max="1" width="16.5546875" customWidth="1"/>
  </cols>
  <sheetData>
    <row r="1" spans="1:7" x14ac:dyDescent="0.3">
      <c r="A1" t="s">
        <v>77</v>
      </c>
    </row>
    <row r="2" spans="1:7" x14ac:dyDescent="0.3">
      <c r="B2" s="14">
        <v>6.0000000000000009</v>
      </c>
      <c r="C2" s="29">
        <v>3.9999999999999987</v>
      </c>
    </row>
    <row r="3" spans="1:7" x14ac:dyDescent="0.3">
      <c r="A3" s="14" t="s">
        <v>50</v>
      </c>
      <c r="B3" s="17" t="s">
        <v>1</v>
      </c>
      <c r="C3" s="17" t="s">
        <v>2</v>
      </c>
      <c r="G3" s="14" t="s">
        <v>3</v>
      </c>
    </row>
    <row r="4" spans="1:7" x14ac:dyDescent="0.3">
      <c r="A4" s="27" t="s">
        <v>78</v>
      </c>
      <c r="B4" s="27">
        <v>1</v>
      </c>
      <c r="C4" s="27">
        <v>3</v>
      </c>
      <c r="D4" s="27" t="s">
        <v>9</v>
      </c>
      <c r="E4" s="27">
        <f>SUMPRODUCT(B4:C4,$B$2:$C$2)</f>
        <v>17.999999999999996</v>
      </c>
      <c r="F4" s="27">
        <v>18</v>
      </c>
      <c r="G4" s="30">
        <f>SUMPRODUCT(B8:C8,B2:C2)</f>
        <v>24</v>
      </c>
    </row>
    <row r="5" spans="1:7" x14ac:dyDescent="0.3">
      <c r="A5" s="27" t="s">
        <v>79</v>
      </c>
      <c r="B5" s="27">
        <v>2</v>
      </c>
      <c r="C5" s="27">
        <v>1</v>
      </c>
      <c r="D5" s="27" t="s">
        <v>9</v>
      </c>
      <c r="E5" s="27">
        <f t="shared" ref="E5:E7" si="0">SUMPRODUCT(B5:C5,$B$2:$C$2)</f>
        <v>16</v>
      </c>
      <c r="F5" s="27">
        <v>16</v>
      </c>
    </row>
    <row r="6" spans="1:7" x14ac:dyDescent="0.3">
      <c r="A6" s="27" t="s">
        <v>80</v>
      </c>
      <c r="B6" s="27">
        <v>0</v>
      </c>
      <c r="C6" s="27">
        <v>1</v>
      </c>
      <c r="D6" s="27" t="s">
        <v>9</v>
      </c>
      <c r="E6" s="27">
        <f t="shared" si="0"/>
        <v>3.9999999999999987</v>
      </c>
      <c r="F6" s="27">
        <v>5</v>
      </c>
    </row>
    <row r="7" spans="1:7" x14ac:dyDescent="0.3">
      <c r="A7" s="27" t="s">
        <v>81</v>
      </c>
      <c r="B7" s="27">
        <v>3</v>
      </c>
      <c r="C7" s="27">
        <v>0</v>
      </c>
      <c r="D7" s="27" t="s">
        <v>9</v>
      </c>
      <c r="E7" s="27">
        <f t="shared" si="0"/>
        <v>18.000000000000004</v>
      </c>
      <c r="F7" s="28">
        <v>21</v>
      </c>
    </row>
    <row r="8" spans="1:7" x14ac:dyDescent="0.3">
      <c r="A8" s="15" t="s">
        <v>4</v>
      </c>
      <c r="B8" s="21">
        <v>2</v>
      </c>
      <c r="C8" s="2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8A568-B3E9-4892-BA20-AFDBC08C390E}">
  <dimension ref="A1:G30"/>
  <sheetViews>
    <sheetView showGridLines="0" workbookViewId="0"/>
  </sheetViews>
  <sheetFormatPr defaultRowHeight="14.4" outlineLevelRow="1" x14ac:dyDescent="0.3"/>
  <cols>
    <col min="1" max="1" width="2.33203125" customWidth="1"/>
    <col min="2" max="2" width="7.21875" bestFit="1" customWidth="1"/>
    <col min="3" max="3" width="10.7773437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3" t="s">
        <v>13</v>
      </c>
    </row>
    <row r="2" spans="1:5" x14ac:dyDescent="0.3">
      <c r="A2" s="3" t="s">
        <v>82</v>
      </c>
    </row>
    <row r="3" spans="1:5" x14ac:dyDescent="0.3">
      <c r="A3" s="3" t="s">
        <v>83</v>
      </c>
    </row>
    <row r="4" spans="1:5" x14ac:dyDescent="0.3">
      <c r="A4" s="3" t="s">
        <v>59</v>
      </c>
    </row>
    <row r="5" spans="1:5" x14ac:dyDescent="0.3">
      <c r="A5" s="3" t="s">
        <v>17</v>
      </c>
    </row>
    <row r="6" spans="1:5" hidden="1" outlineLevel="1" x14ac:dyDescent="0.3">
      <c r="A6" s="3"/>
      <c r="B6" t="s">
        <v>60</v>
      </c>
    </row>
    <row r="7" spans="1:5" hidden="1" outlineLevel="1" x14ac:dyDescent="0.3">
      <c r="A7" s="3"/>
      <c r="B7" t="s">
        <v>84</v>
      </c>
    </row>
    <row r="8" spans="1:5" hidden="1" outlineLevel="1" x14ac:dyDescent="0.3">
      <c r="A8" s="3"/>
      <c r="B8" t="s">
        <v>62</v>
      </c>
    </row>
    <row r="9" spans="1:5" collapsed="1" x14ac:dyDescent="0.3">
      <c r="A9" s="3" t="s">
        <v>21</v>
      </c>
    </row>
    <row r="10" spans="1:5" hidden="1" outlineLevel="1" x14ac:dyDescent="0.3">
      <c r="B10" t="s">
        <v>22</v>
      </c>
    </row>
    <row r="11" spans="1:5" hidden="1" outlineLevel="1" x14ac:dyDescent="0.3">
      <c r="B11" t="s">
        <v>85</v>
      </c>
    </row>
    <row r="12" spans="1:5" hidden="1" outlineLevel="1" x14ac:dyDescent="0.3">
      <c r="B12" t="s">
        <v>23</v>
      </c>
    </row>
    <row r="13" spans="1:5" collapsed="1" x14ac:dyDescent="0.3"/>
    <row r="14" spans="1:5" ht="15" thickBot="1" x14ac:dyDescent="0.35">
      <c r="A14" t="s">
        <v>24</v>
      </c>
    </row>
    <row r="15" spans="1:5" ht="15" thickBot="1" x14ac:dyDescent="0.35">
      <c r="B15" s="11" t="s">
        <v>25</v>
      </c>
      <c r="C15" s="11" t="s">
        <v>26</v>
      </c>
      <c r="D15" s="11" t="s">
        <v>27</v>
      </c>
      <c r="E15" s="11" t="s">
        <v>28</v>
      </c>
    </row>
    <row r="16" spans="1:5" ht="15" thickBot="1" x14ac:dyDescent="0.35">
      <c r="B16" s="4" t="s">
        <v>65</v>
      </c>
      <c r="C16" s="4" t="s">
        <v>66</v>
      </c>
      <c r="D16" s="7">
        <v>24</v>
      </c>
      <c r="E16" s="7">
        <v>24</v>
      </c>
    </row>
    <row r="19" spans="1:7" ht="15" thickBot="1" x14ac:dyDescent="0.35">
      <c r="A19" t="s">
        <v>29</v>
      </c>
    </row>
    <row r="20" spans="1:7" ht="15" thickBot="1" x14ac:dyDescent="0.35">
      <c r="B20" s="11" t="s">
        <v>25</v>
      </c>
      <c r="C20" s="11" t="s">
        <v>26</v>
      </c>
      <c r="D20" s="11" t="s">
        <v>27</v>
      </c>
      <c r="E20" s="11" t="s">
        <v>28</v>
      </c>
      <c r="F20" s="11" t="s">
        <v>30</v>
      </c>
    </row>
    <row r="21" spans="1:7" x14ac:dyDescent="0.3">
      <c r="B21" s="6" t="s">
        <v>67</v>
      </c>
      <c r="C21" s="6"/>
      <c r="D21" s="10">
        <v>6.0000000000000009</v>
      </c>
      <c r="E21" s="10">
        <v>6.0000000000000009</v>
      </c>
      <c r="F21" s="6" t="s">
        <v>68</v>
      </c>
    </row>
    <row r="22" spans="1:7" ht="15" thickBot="1" x14ac:dyDescent="0.35">
      <c r="B22" s="4" t="s">
        <v>69</v>
      </c>
      <c r="C22" s="4"/>
      <c r="D22" s="7">
        <v>3.9999999999999987</v>
      </c>
      <c r="E22" s="7">
        <v>3.9999999999999987</v>
      </c>
      <c r="F22" s="4" t="s">
        <v>68</v>
      </c>
    </row>
    <row r="25" spans="1:7" ht="15" thickBot="1" x14ac:dyDescent="0.35">
      <c r="A25" t="s">
        <v>31</v>
      </c>
    </row>
    <row r="26" spans="1:7" ht="15" thickBot="1" x14ac:dyDescent="0.35">
      <c r="B26" s="11" t="s">
        <v>25</v>
      </c>
      <c r="C26" s="11" t="s">
        <v>26</v>
      </c>
      <c r="D26" s="11" t="s">
        <v>32</v>
      </c>
      <c r="E26" s="11" t="s">
        <v>33</v>
      </c>
      <c r="F26" s="11" t="s">
        <v>34</v>
      </c>
      <c r="G26" s="11" t="s">
        <v>35</v>
      </c>
    </row>
    <row r="27" spans="1:7" x14ac:dyDescent="0.3">
      <c r="B27" s="6" t="s">
        <v>36</v>
      </c>
      <c r="C27" s="6" t="s">
        <v>9</v>
      </c>
      <c r="D27" s="10">
        <v>17.999999999999996</v>
      </c>
      <c r="E27" s="6" t="s">
        <v>70</v>
      </c>
      <c r="F27" s="6" t="s">
        <v>47</v>
      </c>
      <c r="G27" s="6">
        <v>0</v>
      </c>
    </row>
    <row r="28" spans="1:7" x14ac:dyDescent="0.3">
      <c r="B28" s="6" t="s">
        <v>71</v>
      </c>
      <c r="C28" s="6" t="s">
        <v>9</v>
      </c>
      <c r="D28" s="10">
        <v>16</v>
      </c>
      <c r="E28" s="6" t="s">
        <v>72</v>
      </c>
      <c r="F28" s="6" t="s">
        <v>47</v>
      </c>
      <c r="G28" s="6">
        <v>0</v>
      </c>
    </row>
    <row r="29" spans="1:7" x14ac:dyDescent="0.3">
      <c r="B29" s="6" t="s">
        <v>73</v>
      </c>
      <c r="C29" s="6" t="s">
        <v>9</v>
      </c>
      <c r="D29" s="10">
        <v>3.9999999999999987</v>
      </c>
      <c r="E29" s="6" t="s">
        <v>74</v>
      </c>
      <c r="F29" s="6" t="s">
        <v>42</v>
      </c>
      <c r="G29" s="6">
        <v>1.0000000000000013</v>
      </c>
    </row>
    <row r="30" spans="1:7" ht="15" thickBot="1" x14ac:dyDescent="0.35">
      <c r="B30" s="4" t="s">
        <v>86</v>
      </c>
      <c r="C30" s="4" t="s">
        <v>9</v>
      </c>
      <c r="D30" s="31">
        <v>18.000000000000004</v>
      </c>
      <c r="E30" s="4" t="s">
        <v>87</v>
      </c>
      <c r="F30" s="4" t="s">
        <v>42</v>
      </c>
      <c r="G30" s="4">
        <v>2.9999999999999964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600FC-FBDC-4048-9B24-288AE45D2C94}">
  <dimension ref="A1:H10"/>
  <sheetViews>
    <sheetView workbookViewId="0"/>
  </sheetViews>
  <sheetFormatPr defaultRowHeight="14.4" x14ac:dyDescent="0.3"/>
  <cols>
    <col min="1" max="1" width="12.77734375" customWidth="1"/>
  </cols>
  <sheetData>
    <row r="1" spans="1:8" x14ac:dyDescent="0.3">
      <c r="A1" t="s">
        <v>104</v>
      </c>
    </row>
    <row r="2" spans="1:8" x14ac:dyDescent="0.3">
      <c r="B2" s="14">
        <v>150.00000041914436</v>
      </c>
      <c r="C2" s="29">
        <v>189.9999995808557</v>
      </c>
      <c r="D2" s="29">
        <v>80</v>
      </c>
    </row>
    <row r="3" spans="1:8" x14ac:dyDescent="0.3">
      <c r="A3" s="14" t="s">
        <v>50</v>
      </c>
      <c r="B3" s="17" t="s">
        <v>1</v>
      </c>
      <c r="C3" s="17" t="s">
        <v>2</v>
      </c>
      <c r="D3" s="17" t="s">
        <v>88</v>
      </c>
      <c r="H3" s="14" t="s">
        <v>3</v>
      </c>
    </row>
    <row r="4" spans="1:8" x14ac:dyDescent="0.3">
      <c r="A4" s="27" t="s">
        <v>78</v>
      </c>
      <c r="B4" s="27">
        <v>2</v>
      </c>
      <c r="C4" s="27">
        <v>4</v>
      </c>
      <c r="D4" s="27">
        <v>3</v>
      </c>
      <c r="E4" s="27" t="s">
        <v>9</v>
      </c>
      <c r="F4" s="27">
        <f>SUMPRODUCT(B4:D4,$B$2:$D$2)</f>
        <v>1299.9999991617115</v>
      </c>
      <c r="G4" s="27">
        <v>1300</v>
      </c>
      <c r="H4" s="30">
        <f>SUMPRODUCT(B8:D8,B2:D2)</f>
        <v>6529.9999970659901</v>
      </c>
    </row>
    <row r="5" spans="1:8" x14ac:dyDescent="0.3">
      <c r="A5" s="27" t="s">
        <v>79</v>
      </c>
      <c r="B5" s="27">
        <v>3</v>
      </c>
      <c r="C5" s="27">
        <v>1</v>
      </c>
      <c r="D5" s="27">
        <v>3</v>
      </c>
      <c r="E5" s="27" t="s">
        <v>9</v>
      </c>
      <c r="F5" s="27">
        <f t="shared" ref="F5:F7" si="0">SUMPRODUCT(B5:D5,$B$2:$D$2)</f>
        <v>880.00000083828877</v>
      </c>
      <c r="G5" s="27">
        <v>1250</v>
      </c>
    </row>
    <row r="6" spans="1:8" x14ac:dyDescent="0.3">
      <c r="A6" s="27" t="s">
        <v>80</v>
      </c>
      <c r="B6" s="27">
        <v>1</v>
      </c>
      <c r="C6" s="27">
        <v>2</v>
      </c>
      <c r="D6" s="27">
        <v>0</v>
      </c>
      <c r="E6" s="27" t="s">
        <v>9</v>
      </c>
      <c r="F6" s="27">
        <f t="shared" si="0"/>
        <v>529.99999958085573</v>
      </c>
      <c r="G6" s="27">
        <v>800</v>
      </c>
    </row>
    <row r="7" spans="1:8" x14ac:dyDescent="0.3">
      <c r="A7" s="27" t="s">
        <v>81</v>
      </c>
      <c r="B7" s="27">
        <v>1</v>
      </c>
      <c r="C7" s="27">
        <v>1</v>
      </c>
      <c r="D7" s="27">
        <v>1</v>
      </c>
      <c r="E7" s="27" t="s">
        <v>9</v>
      </c>
      <c r="F7" s="27">
        <f t="shared" si="0"/>
        <v>420.00000000000006</v>
      </c>
      <c r="G7" s="28">
        <v>420</v>
      </c>
    </row>
    <row r="8" spans="1:8" x14ac:dyDescent="0.3">
      <c r="A8" s="15" t="s">
        <v>4</v>
      </c>
      <c r="B8" s="21">
        <v>12</v>
      </c>
      <c r="C8" s="23">
        <v>19</v>
      </c>
      <c r="D8" s="23">
        <v>14</v>
      </c>
    </row>
    <row r="9" spans="1:8" x14ac:dyDescent="0.3">
      <c r="A9" s="32" t="s">
        <v>54</v>
      </c>
      <c r="C9" s="33">
        <v>100</v>
      </c>
      <c r="D9" s="33">
        <v>80</v>
      </c>
    </row>
    <row r="10" spans="1:8" x14ac:dyDescent="0.3">
      <c r="C10">
        <v>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4F98-9AA9-47F7-8F0F-4C9E00D67A97}">
  <dimension ref="A1:G35"/>
  <sheetViews>
    <sheetView showGridLines="0" workbookViewId="0"/>
  </sheetViews>
  <sheetFormatPr defaultRowHeight="14.4" outlineLevelRow="1" x14ac:dyDescent="0.3"/>
  <cols>
    <col min="1" max="1" width="2.33203125" customWidth="1"/>
    <col min="2" max="2" width="7.21875" bestFit="1" customWidth="1"/>
    <col min="3" max="3" width="10.7773437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12" bestFit="1" customWidth="1"/>
  </cols>
  <sheetData>
    <row r="1" spans="1:5" x14ac:dyDescent="0.3">
      <c r="A1" s="3" t="s">
        <v>13</v>
      </c>
    </row>
    <row r="2" spans="1:5" x14ac:dyDescent="0.3">
      <c r="A2" s="3" t="s">
        <v>89</v>
      </c>
    </row>
    <row r="3" spans="1:5" x14ac:dyDescent="0.3">
      <c r="A3" s="3" t="s">
        <v>103</v>
      </c>
    </row>
    <row r="4" spans="1:5" x14ac:dyDescent="0.3">
      <c r="A4" s="3" t="s">
        <v>59</v>
      </c>
    </row>
    <row r="5" spans="1:5" x14ac:dyDescent="0.3">
      <c r="A5" s="3" t="s">
        <v>17</v>
      </c>
    </row>
    <row r="6" spans="1:5" hidden="1" outlineLevel="1" x14ac:dyDescent="0.3">
      <c r="A6" s="3"/>
      <c r="B6" t="s">
        <v>60</v>
      </c>
    </row>
    <row r="7" spans="1:5" hidden="1" outlineLevel="1" x14ac:dyDescent="0.3">
      <c r="A7" s="3"/>
      <c r="B7" t="s">
        <v>61</v>
      </c>
    </row>
    <row r="8" spans="1:5" hidden="1" outlineLevel="1" x14ac:dyDescent="0.3">
      <c r="A8" s="3"/>
      <c r="B8" t="s">
        <v>62</v>
      </c>
    </row>
    <row r="9" spans="1:5" collapsed="1" x14ac:dyDescent="0.3">
      <c r="A9" s="3" t="s">
        <v>21</v>
      </c>
    </row>
    <row r="10" spans="1:5" hidden="1" outlineLevel="1" x14ac:dyDescent="0.3">
      <c r="B10" t="s">
        <v>22</v>
      </c>
    </row>
    <row r="11" spans="1:5" hidden="1" outlineLevel="1" x14ac:dyDescent="0.3">
      <c r="B11" t="s">
        <v>85</v>
      </c>
    </row>
    <row r="12" spans="1:5" hidden="1" outlineLevel="1" x14ac:dyDescent="0.3">
      <c r="B12" t="s">
        <v>23</v>
      </c>
    </row>
    <row r="13" spans="1:5" collapsed="1" x14ac:dyDescent="0.3"/>
    <row r="14" spans="1:5" ht="15" thickBot="1" x14ac:dyDescent="0.35">
      <c r="A14" t="s">
        <v>24</v>
      </c>
    </row>
    <row r="15" spans="1:5" ht="15" thickBot="1" x14ac:dyDescent="0.35">
      <c r="B15" s="11" t="s">
        <v>25</v>
      </c>
      <c r="C15" s="11" t="s">
        <v>26</v>
      </c>
      <c r="D15" s="11" t="s">
        <v>27</v>
      </c>
      <c r="E15" s="11" t="s">
        <v>28</v>
      </c>
    </row>
    <row r="16" spans="1:5" ht="15" thickBot="1" x14ac:dyDescent="0.35">
      <c r="B16" s="4" t="s">
        <v>90</v>
      </c>
      <c r="C16" s="4" t="s">
        <v>66</v>
      </c>
      <c r="D16" s="7">
        <v>6529.9999970659901</v>
      </c>
      <c r="E16" s="7">
        <v>6529.9999970659901</v>
      </c>
    </row>
    <row r="19" spans="1:7" ht="15" thickBot="1" x14ac:dyDescent="0.35">
      <c r="A19" t="s">
        <v>29</v>
      </c>
    </row>
    <row r="20" spans="1:7" ht="15" thickBot="1" x14ac:dyDescent="0.35">
      <c r="B20" s="11" t="s">
        <v>25</v>
      </c>
      <c r="C20" s="11" t="s">
        <v>26</v>
      </c>
      <c r="D20" s="11" t="s">
        <v>27</v>
      </c>
      <c r="E20" s="11" t="s">
        <v>28</v>
      </c>
      <c r="F20" s="11" t="s">
        <v>30</v>
      </c>
    </row>
    <row r="21" spans="1:7" x14ac:dyDescent="0.3">
      <c r="B21" s="36" t="s">
        <v>102</v>
      </c>
      <c r="C21" s="35"/>
      <c r="D21" s="35"/>
      <c r="E21" s="35"/>
      <c r="F21" s="35"/>
    </row>
    <row r="22" spans="1:7" hidden="1" outlineLevel="1" x14ac:dyDescent="0.3">
      <c r="B22" s="6" t="s">
        <v>67</v>
      </c>
      <c r="C22" s="6"/>
      <c r="D22" s="10">
        <v>150.00000041914436</v>
      </c>
      <c r="E22" s="10">
        <v>150.00000041914436</v>
      </c>
      <c r="F22" s="6" t="s">
        <v>68</v>
      </c>
    </row>
    <row r="23" spans="1:7" hidden="1" outlineLevel="1" x14ac:dyDescent="0.3">
      <c r="B23" s="6" t="s">
        <v>69</v>
      </c>
      <c r="C23" s="6"/>
      <c r="D23" s="8">
        <v>189.9999995808557</v>
      </c>
      <c r="E23" s="8">
        <v>189.9999995808557</v>
      </c>
      <c r="F23" s="6" t="s">
        <v>68</v>
      </c>
    </row>
    <row r="24" spans="1:7" ht="15" hidden="1" outlineLevel="1" thickBot="1" x14ac:dyDescent="0.35">
      <c r="B24" s="4" t="s">
        <v>91</v>
      </c>
      <c r="C24" s="4"/>
      <c r="D24" s="7">
        <v>80</v>
      </c>
      <c r="E24" s="7">
        <v>80</v>
      </c>
      <c r="F24" s="4" t="s">
        <v>68</v>
      </c>
    </row>
    <row r="25" spans="1:7" collapsed="1" x14ac:dyDescent="0.3">
      <c r="B25" s="12"/>
      <c r="C25" s="12"/>
      <c r="D25" s="34"/>
      <c r="E25" s="34"/>
      <c r="F25" s="12"/>
    </row>
    <row r="28" spans="1:7" ht="15" thickBot="1" x14ac:dyDescent="0.35">
      <c r="A28" t="s">
        <v>31</v>
      </c>
    </row>
    <row r="29" spans="1:7" ht="15" thickBot="1" x14ac:dyDescent="0.35">
      <c r="B29" s="11" t="s">
        <v>25</v>
      </c>
      <c r="C29" s="11" t="s">
        <v>26</v>
      </c>
      <c r="D29" s="11" t="s">
        <v>32</v>
      </c>
      <c r="E29" s="11" t="s">
        <v>33</v>
      </c>
      <c r="F29" s="11" t="s">
        <v>34</v>
      </c>
      <c r="G29" s="11" t="s">
        <v>35</v>
      </c>
    </row>
    <row r="30" spans="1:7" x14ac:dyDescent="0.3">
      <c r="B30" s="6" t="s">
        <v>92</v>
      </c>
      <c r="C30" s="6" t="s">
        <v>9</v>
      </c>
      <c r="D30" s="10">
        <v>1299.9999991617115</v>
      </c>
      <c r="E30" s="6" t="s">
        <v>93</v>
      </c>
      <c r="F30" s="6" t="s">
        <v>47</v>
      </c>
      <c r="G30" s="6">
        <v>0</v>
      </c>
    </row>
    <row r="31" spans="1:7" x14ac:dyDescent="0.3">
      <c r="B31" s="6" t="s">
        <v>94</v>
      </c>
      <c r="C31" s="6" t="s">
        <v>9</v>
      </c>
      <c r="D31" s="10">
        <v>880.00000083828877</v>
      </c>
      <c r="E31" s="6" t="s">
        <v>95</v>
      </c>
      <c r="F31" s="6" t="s">
        <v>42</v>
      </c>
      <c r="G31" s="6">
        <v>369.99999916171123</v>
      </c>
    </row>
    <row r="32" spans="1:7" x14ac:dyDescent="0.3">
      <c r="B32" s="6" t="s">
        <v>96</v>
      </c>
      <c r="C32" s="6" t="s">
        <v>9</v>
      </c>
      <c r="D32" s="10">
        <v>529.99999958085573</v>
      </c>
      <c r="E32" s="6" t="s">
        <v>97</v>
      </c>
      <c r="F32" s="6" t="s">
        <v>42</v>
      </c>
      <c r="G32" s="6">
        <v>270.00000041914427</v>
      </c>
    </row>
    <row r="33" spans="2:7" x14ac:dyDescent="0.3">
      <c r="B33" s="6" t="s">
        <v>98</v>
      </c>
      <c r="C33" s="6" t="s">
        <v>9</v>
      </c>
      <c r="D33" s="10">
        <v>420.00000000000006</v>
      </c>
      <c r="E33" s="6" t="s">
        <v>99</v>
      </c>
      <c r="F33" s="6" t="s">
        <v>47</v>
      </c>
      <c r="G33" s="6">
        <v>0</v>
      </c>
    </row>
    <row r="34" spans="2:7" x14ac:dyDescent="0.3">
      <c r="B34" s="6" t="s">
        <v>69</v>
      </c>
      <c r="C34" s="6"/>
      <c r="D34" s="8">
        <v>189.9999995808557</v>
      </c>
      <c r="E34" s="6" t="s">
        <v>100</v>
      </c>
      <c r="F34" s="6" t="s">
        <v>42</v>
      </c>
      <c r="G34" s="8">
        <v>189.9999995808557</v>
      </c>
    </row>
    <row r="35" spans="2:7" ht="15" thickBot="1" x14ac:dyDescent="0.35">
      <c r="B35" s="4" t="s">
        <v>91</v>
      </c>
      <c r="C35" s="4"/>
      <c r="D35" s="7">
        <v>80</v>
      </c>
      <c r="E35" s="4" t="s">
        <v>101</v>
      </c>
      <c r="F35" s="4" t="s">
        <v>47</v>
      </c>
      <c r="G35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Лист1</vt:lpstr>
      <vt:lpstr>Отчет о результатах 1</vt:lpstr>
      <vt:lpstr>Лист3</vt:lpstr>
      <vt:lpstr>Отчет о результатах 2</vt:lpstr>
      <vt:lpstr>Лист4</vt:lpstr>
      <vt:lpstr>Отчет о результатах 3</vt:lpstr>
      <vt:lpstr>Лист6</vt:lpstr>
      <vt:lpstr>Отчет о результатах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Жантай Сартбаев</dc:creator>
  <cp:lastModifiedBy>Жантай Сартбаев</cp:lastModifiedBy>
  <dcterms:created xsi:type="dcterms:W3CDTF">2015-06-05T18:19:34Z</dcterms:created>
  <dcterms:modified xsi:type="dcterms:W3CDTF">2026-02-26T23:17:35Z</dcterms:modified>
</cp:coreProperties>
</file>