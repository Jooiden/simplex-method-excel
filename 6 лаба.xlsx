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d0360a4e9aa2e6a7/Документы/1_МатМет/"/>
    </mc:Choice>
  </mc:AlternateContent>
  <xr:revisionPtr revIDLastSave="15" documentId="8_{6E9034D3-D418-4368-87DD-4E636C5F1427}" xr6:coauthVersionLast="45" xr6:coauthVersionMax="45" xr10:uidLastSave="{FC2B4EF2-9ACE-4EB5-B26F-E4ED4E43AF6B}"/>
  <bookViews>
    <workbookView xWindow="-108" yWindow="-108" windowWidth="23256" windowHeight="12456" firstSheet="2" activeTab="8" xr2:uid="{00000000-000D-0000-FFFF-FFFF00000000}"/>
  </bookViews>
  <sheets>
    <sheet name="Лист2" sheetId="2" r:id="rId1"/>
    <sheet name="Отчет о результатах 1" sheetId="3" r:id="rId2"/>
    <sheet name="Лист1" sheetId="1" r:id="rId3"/>
    <sheet name="Лист4" sheetId="4" r:id="rId4"/>
    <sheet name="Отчет о результатах 2" sheetId="6" r:id="rId5"/>
    <sheet name="Лист5" sheetId="5" r:id="rId6"/>
    <sheet name="Лист7" sheetId="7" r:id="rId7"/>
    <sheet name="Отчет о результатах 3" sheetId="9" r:id="rId8"/>
    <sheet name="Лист8" sheetId="8" r:id="rId9"/>
  </sheets>
  <definedNames>
    <definedName name="solver_adj" localSheetId="2" hidden="1">Лист1!$B$9:$F$11</definedName>
    <definedName name="solver_adj" localSheetId="5" hidden="1">Лист5!$B$10:$E$13</definedName>
    <definedName name="solver_adj" localSheetId="8" hidden="1">Лист8!$B$9:$E$11</definedName>
    <definedName name="solver_cvg" localSheetId="2" hidden="1">0.0001</definedName>
    <definedName name="solver_cvg" localSheetId="5" hidden="1">0.0001</definedName>
    <definedName name="solver_cvg" localSheetId="8" hidden="1">0.0001</definedName>
    <definedName name="solver_drv" localSheetId="2" hidden="1">1</definedName>
    <definedName name="solver_drv" localSheetId="5" hidden="1">1</definedName>
    <definedName name="solver_drv" localSheetId="8" hidden="1">1</definedName>
    <definedName name="solver_eng" localSheetId="2" hidden="1">2</definedName>
    <definedName name="solver_eng" localSheetId="5" hidden="1">2</definedName>
    <definedName name="solver_eng" localSheetId="8" hidden="1">2</definedName>
    <definedName name="solver_est" localSheetId="2" hidden="1">1</definedName>
    <definedName name="solver_est" localSheetId="5" hidden="1">1</definedName>
    <definedName name="solver_est" localSheetId="8" hidden="1">1</definedName>
    <definedName name="solver_itr" localSheetId="2" hidden="1">2147483647</definedName>
    <definedName name="solver_itr" localSheetId="5" hidden="1">2147483647</definedName>
    <definedName name="solver_itr" localSheetId="8" hidden="1">2147483647</definedName>
    <definedName name="solver_lhs1" localSheetId="2" hidden="1">Лист1!$B$12:$F$12</definedName>
    <definedName name="solver_lhs1" localSheetId="5" hidden="1">Лист5!$B$10:$E$13</definedName>
    <definedName name="solver_lhs1" localSheetId="8" hidden="1">Лист8!$B$12:$E$12</definedName>
    <definedName name="solver_lhs2" localSheetId="2" hidden="1">Лист1!$B$9:$F$11</definedName>
    <definedName name="solver_lhs2" localSheetId="5" hidden="1">Лист5!$B$10:$E$13</definedName>
    <definedName name="solver_lhs2" localSheetId="8" hidden="1">Лист8!$B$9:$E$11</definedName>
    <definedName name="solver_lhs3" localSheetId="2" hidden="1">Лист1!$B$9:$F$11</definedName>
    <definedName name="solver_lhs3" localSheetId="5" hidden="1">Лист5!$B$14:$E$14</definedName>
    <definedName name="solver_lhs3" localSheetId="8" hidden="1">Лист8!$B$9:$E$11</definedName>
    <definedName name="solver_lhs4" localSheetId="2" hidden="1">Лист1!$G$9:$G$11</definedName>
    <definedName name="solver_lhs4" localSheetId="5" hidden="1">Лист5!$F$10:$F$13</definedName>
    <definedName name="solver_lhs4" localSheetId="8" hidden="1">Лист8!$F$9:$F$11</definedName>
    <definedName name="solver_mip" localSheetId="2" hidden="1">2147483647</definedName>
    <definedName name="solver_mip" localSheetId="5" hidden="1">2147483647</definedName>
    <definedName name="solver_mip" localSheetId="8" hidden="1">2147483647</definedName>
    <definedName name="solver_mni" localSheetId="2" hidden="1">30</definedName>
    <definedName name="solver_mni" localSheetId="5" hidden="1">30</definedName>
    <definedName name="solver_mni" localSheetId="8" hidden="1">30</definedName>
    <definedName name="solver_mrt" localSheetId="2" hidden="1">0.075</definedName>
    <definedName name="solver_mrt" localSheetId="5" hidden="1">0.075</definedName>
    <definedName name="solver_mrt" localSheetId="8" hidden="1">0.075</definedName>
    <definedName name="solver_msl" localSheetId="2" hidden="1">2</definedName>
    <definedName name="solver_msl" localSheetId="5" hidden="1">2</definedName>
    <definedName name="solver_msl" localSheetId="8" hidden="1">2</definedName>
    <definedName name="solver_neg" localSheetId="2" hidden="1">1</definedName>
    <definedName name="solver_neg" localSheetId="5" hidden="1">1</definedName>
    <definedName name="solver_neg" localSheetId="8" hidden="1">1</definedName>
    <definedName name="solver_nod" localSheetId="2" hidden="1">2147483647</definedName>
    <definedName name="solver_nod" localSheetId="5" hidden="1">2147483647</definedName>
    <definedName name="solver_nod" localSheetId="8" hidden="1">2147483647</definedName>
    <definedName name="solver_num" localSheetId="2" hidden="1">4</definedName>
    <definedName name="solver_num" localSheetId="5" hidden="1">4</definedName>
    <definedName name="solver_num" localSheetId="8" hidden="1">4</definedName>
    <definedName name="solver_nwt" localSheetId="2" hidden="1">1</definedName>
    <definedName name="solver_nwt" localSheetId="5" hidden="1">1</definedName>
    <definedName name="solver_nwt" localSheetId="8" hidden="1">1</definedName>
    <definedName name="solver_opt" localSheetId="2" hidden="1">Лист1!$I$12</definedName>
    <definedName name="solver_opt" localSheetId="5" hidden="1">Лист5!$I$12</definedName>
    <definedName name="solver_opt" localSheetId="8" hidden="1">Лист8!$I$11</definedName>
    <definedName name="solver_pre" localSheetId="2" hidden="1">0.000001</definedName>
    <definedName name="solver_pre" localSheetId="5" hidden="1">0.000001</definedName>
    <definedName name="solver_pre" localSheetId="8" hidden="1">0.000001</definedName>
    <definedName name="solver_rbv" localSheetId="2" hidden="1">1</definedName>
    <definedName name="solver_rbv" localSheetId="5" hidden="1">1</definedName>
    <definedName name="solver_rbv" localSheetId="8" hidden="1">1</definedName>
    <definedName name="solver_rel1" localSheetId="2" hidden="1">2</definedName>
    <definedName name="solver_rel1" localSheetId="5" hidden="1">4</definedName>
    <definedName name="solver_rel1" localSheetId="8" hidden="1">2</definedName>
    <definedName name="solver_rel2" localSheetId="2" hidden="1">4</definedName>
    <definedName name="solver_rel2" localSheetId="5" hidden="1">3</definedName>
    <definedName name="solver_rel2" localSheetId="8" hidden="1">4</definedName>
    <definedName name="solver_rel3" localSheetId="2" hidden="1">3</definedName>
    <definedName name="solver_rel3" localSheetId="5" hidden="1">2</definedName>
    <definedName name="solver_rel3" localSheetId="8" hidden="1">3</definedName>
    <definedName name="solver_rel4" localSheetId="2" hidden="1">2</definedName>
    <definedName name="solver_rel4" localSheetId="5" hidden="1">2</definedName>
    <definedName name="solver_rel4" localSheetId="8" hidden="1">2</definedName>
    <definedName name="solver_rhs1" localSheetId="2" hidden="1">Лист1!$B$6:$F$6</definedName>
    <definedName name="solver_rhs1" localSheetId="5" hidden="1">целое</definedName>
    <definedName name="solver_rhs1" localSheetId="8" hidden="1">Лист8!$B$6:$E$6</definedName>
    <definedName name="solver_rhs2" localSheetId="2" hidden="1">целое</definedName>
    <definedName name="solver_rhs2" localSheetId="5" hidden="1">0</definedName>
    <definedName name="solver_rhs2" localSheetId="8" hidden="1">целое</definedName>
    <definedName name="solver_rhs3" localSheetId="2" hidden="1">0</definedName>
    <definedName name="solver_rhs3" localSheetId="5" hidden="1">Лист5!$B$7:$E$7</definedName>
    <definedName name="solver_rhs3" localSheetId="8" hidden="1">0</definedName>
    <definedName name="solver_rhs4" localSheetId="2" hidden="1">Лист1!$G$3:$G$5</definedName>
    <definedName name="solver_rhs4" localSheetId="5" hidden="1">Лист5!$F$3:$F$6</definedName>
    <definedName name="solver_rhs4" localSheetId="8" hidden="1">Лист8!$F$3:$F$5</definedName>
    <definedName name="solver_rlx" localSheetId="2" hidden="1">2</definedName>
    <definedName name="solver_rlx" localSheetId="5" hidden="1">2</definedName>
    <definedName name="solver_rlx" localSheetId="8" hidden="1">2</definedName>
    <definedName name="solver_rsd" localSheetId="2" hidden="1">0</definedName>
    <definedName name="solver_rsd" localSheetId="5" hidden="1">0</definedName>
    <definedName name="solver_rsd" localSheetId="8" hidden="1">0</definedName>
    <definedName name="solver_scl" localSheetId="2" hidden="1">1</definedName>
    <definedName name="solver_scl" localSheetId="5" hidden="1">1</definedName>
    <definedName name="solver_scl" localSheetId="8" hidden="1">1</definedName>
    <definedName name="solver_sho" localSheetId="2" hidden="1">2</definedName>
    <definedName name="solver_sho" localSheetId="5" hidden="1">2</definedName>
    <definedName name="solver_sho" localSheetId="8" hidden="1">2</definedName>
    <definedName name="solver_ssz" localSheetId="2" hidden="1">100</definedName>
    <definedName name="solver_ssz" localSheetId="5" hidden="1">100</definedName>
    <definedName name="solver_ssz" localSheetId="8" hidden="1">100</definedName>
    <definedName name="solver_tim" localSheetId="2" hidden="1">2147483647</definedName>
    <definedName name="solver_tim" localSheetId="5" hidden="1">2147483647</definedName>
    <definedName name="solver_tim" localSheetId="8" hidden="1">2147483647</definedName>
    <definedName name="solver_tol" localSheetId="2" hidden="1">0.01</definedName>
    <definedName name="solver_tol" localSheetId="5" hidden="1">0.01</definedName>
    <definedName name="solver_tol" localSheetId="8" hidden="1">0.01</definedName>
    <definedName name="solver_typ" localSheetId="2" hidden="1">2</definedName>
    <definedName name="solver_typ" localSheetId="5" hidden="1">2</definedName>
    <definedName name="solver_typ" localSheetId="8" hidden="1">2</definedName>
    <definedName name="solver_val" localSheetId="2" hidden="1">0</definedName>
    <definedName name="solver_val" localSheetId="5" hidden="1">0</definedName>
    <definedName name="solver_val" localSheetId="8" hidden="1">0</definedName>
    <definedName name="solver_ver" localSheetId="2" hidden="1">3</definedName>
    <definedName name="solver_ver" localSheetId="5" hidden="1">3</definedName>
    <definedName name="solver_ver" localSheetId="8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8" l="1"/>
  <c r="C12" i="8"/>
  <c r="D12" i="8"/>
  <c r="E12" i="8"/>
  <c r="B12" i="8"/>
  <c r="F10" i="8"/>
  <c r="F11" i="8"/>
  <c r="F9" i="8"/>
  <c r="J4" i="7"/>
  <c r="J5" i="7"/>
  <c r="J3" i="7"/>
  <c r="E7" i="7" a="1"/>
  <c r="E7" i="7" s="1"/>
  <c r="C14" i="5"/>
  <c r="D14" i="5"/>
  <c r="E14" i="5"/>
  <c r="B14" i="5"/>
  <c r="F11" i="5"/>
  <c r="F12" i="5"/>
  <c r="F13" i="5"/>
  <c r="F10" i="5"/>
  <c r="I12" i="5" s="1"/>
  <c r="G9" i="1"/>
  <c r="J4" i="4" a="1"/>
  <c r="J4" i="4"/>
  <c r="J5" i="4" a="1"/>
  <c r="J5" i="4"/>
  <c r="J6" i="4" a="1"/>
  <c r="J6" i="4" s="1"/>
  <c r="J3" i="4" a="1"/>
  <c r="J3" i="4" s="1"/>
  <c r="E8" i="4" a="1"/>
  <c r="E8" i="4" s="1"/>
  <c r="C12" i="1"/>
  <c r="D12" i="1"/>
  <c r="E12" i="1"/>
  <c r="F12" i="1"/>
  <c r="B12" i="1"/>
  <c r="I12" i="1"/>
  <c r="D8" i="2" a="1"/>
  <c r="D8" i="2" s="1"/>
  <c r="H7" i="7" l="1"/>
  <c r="G7" i="7"/>
  <c r="F7" i="7"/>
  <c r="F8" i="4"/>
  <c r="H8" i="4"/>
  <c r="G8" i="4"/>
  <c r="H8" i="2"/>
  <c r="G8" i="2"/>
  <c r="F8" i="2"/>
  <c r="E8" i="2"/>
  <c r="G10" i="1"/>
  <c r="G11" i="1"/>
</calcChain>
</file>

<file path=xl/sharedStrings.xml><?xml version="1.0" encoding="utf-8"?>
<sst xmlns="http://schemas.openxmlformats.org/spreadsheetml/2006/main" count="596" uniqueCount="197">
  <si>
    <t>Данные</t>
  </si>
  <si>
    <t>B1</t>
  </si>
  <si>
    <t>B2</t>
  </si>
  <si>
    <t>B3</t>
  </si>
  <si>
    <t>B4</t>
  </si>
  <si>
    <t>B5</t>
  </si>
  <si>
    <t>A1</t>
  </si>
  <si>
    <t>A2</t>
  </si>
  <si>
    <t>A3</t>
  </si>
  <si>
    <t>Решение</t>
  </si>
  <si>
    <t>Целевая</t>
  </si>
  <si>
    <t>a1</t>
  </si>
  <si>
    <t>a2</t>
  </si>
  <si>
    <t>a3</t>
  </si>
  <si>
    <t>itogo</t>
  </si>
  <si>
    <t>b1</t>
  </si>
  <si>
    <t>b2</t>
  </si>
  <si>
    <t>b3</t>
  </si>
  <si>
    <t>b4</t>
  </si>
  <si>
    <t>b5</t>
  </si>
  <si>
    <t>Microsoft Excel 16.0 Отчет о результатах</t>
  </si>
  <si>
    <t>Лист: [6 лаба.xlsx]Лист1</t>
  </si>
  <si>
    <t>Отчет создан: 27.02.2026 21:41:36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</si>
  <si>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</si>
  <si>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</si>
  <si>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</si>
  <si>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0,031 секунд.</t>
  </si>
  <si>
    <t>Число итераций: 11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</si>
  <si>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</si>
  <si>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</si>
  <si>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</si>
  <si>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</si>
  <si>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</si>
  <si>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</si>
  <si>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</si>
  <si>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</si>
  <si>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</si>
  <si>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</si>
  <si>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</si>
  <si>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</si>
  <si>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</si>
  <si>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</si>
  <si>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</si>
  <si>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$I$12</t>
  </si>
  <si>
    <t>$B$9</t>
  </si>
  <si>
    <t>A1 B1</t>
  </si>
  <si>
    <t>$C$9</t>
  </si>
  <si>
    <t>A1 B2</t>
  </si>
  <si>
    <t>$D$9</t>
  </si>
  <si>
    <t>A1 B3</t>
  </si>
  <si>
    <t>$E$9</t>
  </si>
  <si>
    <t>A1 B4</t>
  </si>
  <si>
    <t>$F$9</t>
  </si>
  <si>
    <t>A1 B5</t>
  </si>
  <si>
    <t>$B$10</t>
  </si>
  <si>
    <t>A2 B1</t>
  </si>
  <si>
    <t>$C$10</t>
  </si>
  <si>
    <t>A2 B2</t>
  </si>
  <si>
    <t>$D$10</t>
  </si>
  <si>
    <t>A2 B3</t>
  </si>
  <si>
    <t>$E$10</t>
  </si>
  <si>
    <t>A2 B4</t>
  </si>
  <si>
    <t>$F$10</t>
  </si>
  <si>
    <t>A2 B5</t>
  </si>
  <si>
    <t>$B$11</t>
  </si>
  <si>
    <t>A3 B1</t>
  </si>
  <si>
    <t>$C$11</t>
  </si>
  <si>
    <t>A3 B2</t>
  </si>
  <si>
    <t>$D$11</t>
  </si>
  <si>
    <t>A3 B3</t>
  </si>
  <si>
    <t>$E$11</t>
  </si>
  <si>
    <t>A3 B4</t>
  </si>
  <si>
    <t>$F$11</t>
  </si>
  <si>
    <t>A3 B5</t>
  </si>
  <si>
    <t>$B$12</t>
  </si>
  <si>
    <t>$B$12=$B$6</t>
  </si>
  <si>
    <t>Привязка</t>
  </si>
  <si>
    <t>$C$12</t>
  </si>
  <si>
    <t>$C$12=$C$6</t>
  </si>
  <si>
    <t>$D$12</t>
  </si>
  <si>
    <t>$D$12=$D$6</t>
  </si>
  <si>
    <t>$E$12</t>
  </si>
  <si>
    <t>$E$12=$E$6</t>
  </si>
  <si>
    <t>$F$12</t>
  </si>
  <si>
    <t>$F$12=$F$6</t>
  </si>
  <si>
    <t>$G$9</t>
  </si>
  <si>
    <t>$G$9=$G$3</t>
  </si>
  <si>
    <t>$G$10</t>
  </si>
  <si>
    <t>$G$10=$G$4</t>
  </si>
  <si>
    <t>$G$11</t>
  </si>
  <si>
    <t>$G$11=$G$5</t>
  </si>
  <si>
    <t>$B$9&gt;=0</t>
  </si>
  <si>
    <t>$C$9&gt;=0</t>
  </si>
  <si>
    <t>$D$9&gt;=0</t>
  </si>
  <si>
    <t>Без привязки</t>
  </si>
  <si>
    <t>$E$9&gt;=0</t>
  </si>
  <si>
    <t>$F$9&gt;=0</t>
  </si>
  <si>
    <t>$B$10&gt;=0</t>
  </si>
  <si>
    <t>$C$10&gt;=0</t>
  </si>
  <si>
    <t>$D$10&gt;=0</t>
  </si>
  <si>
    <t>$E$10&gt;=0</t>
  </si>
  <si>
    <t>$F$10&gt;=0</t>
  </si>
  <si>
    <t>$B$11&gt;=0</t>
  </si>
  <si>
    <t>$C$11&gt;=0</t>
  </si>
  <si>
    <t>$D$11&gt;=0</t>
  </si>
  <si>
    <t>$E$11&gt;=0</t>
  </si>
  <si>
    <t>$F$11&gt;=0</t>
  </si>
  <si>
    <t>$B$9:$F$11=Целочисленное</t>
  </si>
  <si>
    <t>$B$9:$F$11</t>
  </si>
  <si>
    <t>$B$12:$F$12 = $B$6:$F$6</t>
  </si>
  <si>
    <t>$G$9:$G$11 = $G$3:$G$5</t>
  </si>
  <si>
    <t>$B$9:$F$11 &gt;= 0</t>
  </si>
  <si>
    <t>a</t>
  </si>
  <si>
    <t>заводы:</t>
  </si>
  <si>
    <t>b</t>
  </si>
  <si>
    <t>c</t>
  </si>
  <si>
    <t>d</t>
  </si>
  <si>
    <t>e</t>
  </si>
  <si>
    <t>f</t>
  </si>
  <si>
    <t>g</t>
  </si>
  <si>
    <t>h</t>
  </si>
  <si>
    <t>пункты:</t>
  </si>
  <si>
    <t>A</t>
  </si>
  <si>
    <t>B</t>
  </si>
  <si>
    <t>C</t>
  </si>
  <si>
    <t>D</t>
  </si>
  <si>
    <t>E</t>
  </si>
  <si>
    <t>F</t>
  </si>
  <si>
    <t>G</t>
  </si>
  <si>
    <t>H</t>
  </si>
  <si>
    <t>Лист: [6 лаба.xlsx]Лист5</t>
  </si>
  <si>
    <t>Отчет создан: 27.02.2026 22:05:09</t>
  </si>
  <si>
    <t>Число итераций: 13 Число подзадач: 0</t>
  </si>
  <si>
    <t>G Целевая</t>
  </si>
  <si>
    <t>E A</t>
  </si>
  <si>
    <t>E B</t>
  </si>
  <si>
    <t>E C</t>
  </si>
  <si>
    <t>E D</t>
  </si>
  <si>
    <t>F A</t>
  </si>
  <si>
    <t>F B</t>
  </si>
  <si>
    <t>F C</t>
  </si>
  <si>
    <t>F D</t>
  </si>
  <si>
    <t>G A</t>
  </si>
  <si>
    <t>G B</t>
  </si>
  <si>
    <t>G C</t>
  </si>
  <si>
    <t>G D</t>
  </si>
  <si>
    <t>$B$13</t>
  </si>
  <si>
    <t>H A</t>
  </si>
  <si>
    <t>$C$13</t>
  </si>
  <si>
    <t>H B</t>
  </si>
  <si>
    <t>$D$13</t>
  </si>
  <si>
    <t>H C</t>
  </si>
  <si>
    <t>$E$13</t>
  </si>
  <si>
    <t>H D</t>
  </si>
  <si>
    <t>$B$14</t>
  </si>
  <si>
    <t>$B$14=$B$7</t>
  </si>
  <si>
    <t>$C$14</t>
  </si>
  <si>
    <t>$C$14=$C$7</t>
  </si>
  <si>
    <t>$D$14</t>
  </si>
  <si>
    <t>$D$14=$D$7</t>
  </si>
  <si>
    <t>$E$14</t>
  </si>
  <si>
    <t>$E$14=$E$7</t>
  </si>
  <si>
    <t>$F$10=$F$3</t>
  </si>
  <si>
    <t>$F$11=$F$4</t>
  </si>
  <si>
    <t>$F$12=$F$5</t>
  </si>
  <si>
    <t>$F$13</t>
  </si>
  <si>
    <t>$F$13=$F$6</t>
  </si>
  <si>
    <t>$B$12&gt;=0</t>
  </si>
  <si>
    <t>$C$12&gt;=0</t>
  </si>
  <si>
    <t>$D$12&gt;=0</t>
  </si>
  <si>
    <t>$E$12&gt;=0</t>
  </si>
  <si>
    <t>$B$13&gt;=0</t>
  </si>
  <si>
    <t>$C$13&gt;=0</t>
  </si>
  <si>
    <t>$D$13&gt;=0</t>
  </si>
  <si>
    <t>$E$13&gt;=0</t>
  </si>
  <si>
    <t>$B$10:$E$13=Целочисленное</t>
  </si>
  <si>
    <t>$B$10:$E$13</t>
  </si>
  <si>
    <t>$B$14:$E$14 = $B$7:$E$7</t>
  </si>
  <si>
    <t>$F$10:$F$13 = $F$3:$F$6</t>
  </si>
  <si>
    <t>$B$10:$E$13 &gt;= 0</t>
  </si>
  <si>
    <t>Базы</t>
  </si>
  <si>
    <t>Пункты</t>
  </si>
  <si>
    <t>Лист: [6 лаба.xlsx]Лист8</t>
  </si>
  <si>
    <t>Отчет создан: 27.02.2026 22:30:48</t>
  </si>
  <si>
    <t>Время решения: 0,032 секунд.</t>
  </si>
  <si>
    <t>Число итераций: 8 Число подзадач: 0</t>
  </si>
  <si>
    <t>$I$11</t>
  </si>
  <si>
    <t>A3 Целевая</t>
  </si>
  <si>
    <t>$F$9=$F$3</t>
  </si>
  <si>
    <t>$F$10=$F$4</t>
  </si>
  <si>
    <t>$F$11=$F$5</t>
  </si>
  <si>
    <t>$B$9:$E$11=Целочисленное</t>
  </si>
  <si>
    <t>$B$9:$E$11</t>
  </si>
  <si>
    <t>$B$12:$E$12 = $B$6:$E$6</t>
  </si>
  <si>
    <t>$F$9:$F$11 = $F$3:$F$5</t>
  </si>
  <si>
    <t>$B$9:$E$11 &gt;= 0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</si>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</sst>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0" borderId="3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0" fillId="0" borderId="5" xfId="0" applyBorder="1"/>
    <xf numFmtId="1" fontId="0" fillId="0" borderId="0" xfId="0" applyNumberFormat="1"/>
    <xf numFmtId="0" fontId="0" fillId="0" borderId="6" xfId="0" applyBorder="1"/>
    <xf numFmtId="1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79E8-B51C-4B26-84C9-914663131A78}">
  <dimension ref="A3:H12"/>
  <sheetViews>
    <sheetView workbookViewId="0">
      <selection activeCell="D8" sqref="D8"/>
    </sheetView>
  </sheetViews>
  <sheetFormatPr defaultRowHeight="14.4" x14ac:dyDescent="0.3"/>
  <sheetData>
    <row r="3" spans="1:8" x14ac:dyDescent="0.3">
      <c r="A3" t="s">
        <v>11</v>
      </c>
      <c r="B3">
        <v>100</v>
      </c>
    </row>
    <row r="4" spans="1:8" x14ac:dyDescent="0.3">
      <c r="A4" t="s">
        <v>12</v>
      </c>
      <c r="B4">
        <v>200</v>
      </c>
      <c r="D4" s="1">
        <v>7</v>
      </c>
      <c r="E4" s="1">
        <v>6</v>
      </c>
      <c r="F4" s="1">
        <v>4</v>
      </c>
      <c r="G4" s="1">
        <v>3</v>
      </c>
      <c r="H4" s="1">
        <v>6</v>
      </c>
    </row>
    <row r="5" spans="1:8" x14ac:dyDescent="0.3">
      <c r="A5" t="s">
        <v>13</v>
      </c>
      <c r="B5">
        <v>300</v>
      </c>
      <c r="D5" s="1">
        <v>8</v>
      </c>
      <c r="E5" s="1">
        <v>5</v>
      </c>
      <c r="F5" s="1">
        <v>15</v>
      </c>
      <c r="G5" s="1">
        <v>9</v>
      </c>
      <c r="H5" s="1">
        <v>10</v>
      </c>
    </row>
    <row r="6" spans="1:8" x14ac:dyDescent="0.3">
      <c r="A6" t="s">
        <v>14</v>
      </c>
      <c r="B6">
        <v>600</v>
      </c>
      <c r="D6" s="1">
        <v>4</v>
      </c>
      <c r="E6" s="1">
        <v>6</v>
      </c>
      <c r="F6" s="1">
        <v>3</v>
      </c>
      <c r="G6" s="1">
        <v>6</v>
      </c>
      <c r="H6" s="1">
        <v>2</v>
      </c>
    </row>
    <row r="7" spans="1:8" x14ac:dyDescent="0.3">
      <c r="A7" t="s">
        <v>15</v>
      </c>
      <c r="B7">
        <v>100</v>
      </c>
    </row>
    <row r="8" spans="1:8" x14ac:dyDescent="0.3">
      <c r="A8" t="s">
        <v>16</v>
      </c>
      <c r="B8">
        <v>200</v>
      </c>
      <c r="D8">
        <f t="array" ref="D8:H8">TRANSPOSE(B7:B11)</f>
        <v>100</v>
      </c>
      <c r="E8">
        <v>200</v>
      </c>
      <c r="F8">
        <v>80</v>
      </c>
      <c r="G8">
        <v>60</v>
      </c>
      <c r="H8">
        <v>160</v>
      </c>
    </row>
    <row r="9" spans="1:8" x14ac:dyDescent="0.3">
      <c r="A9" t="s">
        <v>17</v>
      </c>
      <c r="B9">
        <v>80</v>
      </c>
    </row>
    <row r="10" spans="1:8" x14ac:dyDescent="0.3">
      <c r="A10" t="s">
        <v>18</v>
      </c>
      <c r="B10">
        <v>60</v>
      </c>
    </row>
    <row r="11" spans="1:8" x14ac:dyDescent="0.3">
      <c r="A11" t="s">
        <v>19</v>
      </c>
      <c r="B11">
        <v>160</v>
      </c>
    </row>
    <row r="12" spans="1:8" x14ac:dyDescent="0.3">
      <c r="A12" t="s">
        <v>14</v>
      </c>
      <c r="B12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8E72-066F-451B-AB5E-ECBBDBD85FE1}">
  <dimension ref="A1:G71"/>
  <sheetViews>
    <sheetView showGridLines="0" workbookViewId="0"/>
  </sheetViews>
  <sheetFormatPr defaultRowHeight="14.4" outlineLevelRow="1" x14ac:dyDescent="0.3"/>
  <cols>
    <col min="1" max="1" width="2.33203125" customWidth="1"/>
    <col min="2" max="2" width="25.6640625" bestFit="1" customWidth="1"/>
    <col min="3" max="3" width="8.3320312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3" t="s">
        <v>20</v>
      </c>
    </row>
    <row r="2" spans="1:5" x14ac:dyDescent="0.3">
      <c r="A2" s="3" t="s">
        <v>21</v>
      </c>
    </row>
    <row r="3" spans="1:5" x14ac:dyDescent="0.3">
      <c r="A3" s="3" t="s">
        <v>22</v>
      </c>
    </row>
    <row r="4" spans="1:5" x14ac:dyDescent="0.3">
      <c r="A4" s="3" t="s">
        <v>23</v>
      </c>
    </row>
    <row r="5" spans="1:5" x14ac:dyDescent="0.3">
      <c r="A5" s="3" t="s">
        <v>24</v>
      </c>
    </row>
    <row r="6" spans="1:5" hidden="1" outlineLevel="1" x14ac:dyDescent="0.3">
      <c r="A6" s="3"/>
      <c r="B6" t="s">
        <v>25</v>
      </c>
    </row>
    <row r="7" spans="1:5" hidden="1" outlineLevel="1" x14ac:dyDescent="0.3">
      <c r="A7" s="3"/>
      <c r="B7" t="s">
        <v>26</v>
      </c>
    </row>
    <row r="8" spans="1:5" hidden="1" outlineLevel="1" x14ac:dyDescent="0.3">
      <c r="A8" s="3"/>
      <c r="B8" t="s">
        <v>27</v>
      </c>
    </row>
    <row r="9" spans="1:5" collapsed="1" x14ac:dyDescent="0.3">
      <c r="A9" s="3" t="s">
        <v>28</v>
      </c>
    </row>
    <row r="10" spans="1:5" hidden="1" outlineLevel="1" x14ac:dyDescent="0.3">
      <c r="B10" t="s">
        <v>29</v>
      </c>
    </row>
    <row r="11" spans="1:5" hidden="1" outlineLevel="1" x14ac:dyDescent="0.3">
      <c r="B11" t="s">
        <v>30</v>
      </c>
    </row>
    <row r="12" spans="1:5" collapsed="1" x14ac:dyDescent="0.3"/>
    <row r="14" spans="1:5" ht="15" thickBot="1" x14ac:dyDescent="0.35">
      <c r="A14" t="s">
        <v>31</v>
      </c>
    </row>
    <row r="15" spans="1:5" ht="15" thickBot="1" x14ac:dyDescent="0.35">
      <c r="B15" s="5" t="s">
        <v>32</v>
      </c>
      <c r="C15" s="5" t="s">
        <v>33</v>
      </c>
      <c r="D15" s="5" t="s">
        <v>34</v>
      </c>
      <c r="E15" s="5" t="s">
        <v>35</v>
      </c>
    </row>
    <row r="16" spans="1:5" ht="15" thickBot="1" x14ac:dyDescent="0.35">
      <c r="B16" s="4" t="s">
        <v>43</v>
      </c>
      <c r="C16" s="4" t="s">
        <v>10</v>
      </c>
      <c r="D16" s="8">
        <v>2180</v>
      </c>
      <c r="E16" s="8">
        <v>2180</v>
      </c>
    </row>
    <row r="19" spans="1:6" ht="15" thickBot="1" x14ac:dyDescent="0.35">
      <c r="A19" t="s">
        <v>36</v>
      </c>
    </row>
    <row r="20" spans="1:6" ht="15" thickBot="1" x14ac:dyDescent="0.35">
      <c r="B20" s="5" t="s">
        <v>32</v>
      </c>
      <c r="C20" s="5" t="s">
        <v>33</v>
      </c>
      <c r="D20" s="5" t="s">
        <v>34</v>
      </c>
      <c r="E20" s="5" t="s">
        <v>35</v>
      </c>
      <c r="F20" s="5" t="s">
        <v>37</v>
      </c>
    </row>
    <row r="21" spans="1:6" x14ac:dyDescent="0.3">
      <c r="B21" s="12" t="s">
        <v>108</v>
      </c>
      <c r="C21" s="11"/>
      <c r="D21" s="11"/>
      <c r="E21" s="11"/>
      <c r="F21" s="11"/>
    </row>
    <row r="22" spans="1:6" hidden="1" outlineLevel="1" x14ac:dyDescent="0.3">
      <c r="B22" s="7" t="s">
        <v>44</v>
      </c>
      <c r="C22" s="7" t="s">
        <v>45</v>
      </c>
      <c r="D22" s="9">
        <v>0</v>
      </c>
      <c r="E22" s="9">
        <v>0</v>
      </c>
      <c r="F22" s="7" t="s">
        <v>37</v>
      </c>
    </row>
    <row r="23" spans="1:6" hidden="1" outlineLevel="1" x14ac:dyDescent="0.3">
      <c r="B23" s="7" t="s">
        <v>46</v>
      </c>
      <c r="C23" s="7" t="s">
        <v>47</v>
      </c>
      <c r="D23" s="9">
        <v>0</v>
      </c>
      <c r="E23" s="9">
        <v>0</v>
      </c>
      <c r="F23" s="7" t="s">
        <v>37</v>
      </c>
    </row>
    <row r="24" spans="1:6" hidden="1" outlineLevel="1" x14ac:dyDescent="0.3">
      <c r="B24" s="7" t="s">
        <v>48</v>
      </c>
      <c r="C24" s="7" t="s">
        <v>49</v>
      </c>
      <c r="D24" s="9">
        <v>40</v>
      </c>
      <c r="E24" s="9">
        <v>40</v>
      </c>
      <c r="F24" s="7" t="s">
        <v>37</v>
      </c>
    </row>
    <row r="25" spans="1:6" hidden="1" outlineLevel="1" x14ac:dyDescent="0.3">
      <c r="B25" s="7" t="s">
        <v>50</v>
      </c>
      <c r="C25" s="7" t="s">
        <v>51</v>
      </c>
      <c r="D25" s="9">
        <v>60</v>
      </c>
      <c r="E25" s="9">
        <v>60</v>
      </c>
      <c r="F25" s="7" t="s">
        <v>37</v>
      </c>
    </row>
    <row r="26" spans="1:6" hidden="1" outlineLevel="1" x14ac:dyDescent="0.3">
      <c r="B26" s="7" t="s">
        <v>52</v>
      </c>
      <c r="C26" s="7" t="s">
        <v>53</v>
      </c>
      <c r="D26" s="9">
        <v>0</v>
      </c>
      <c r="E26" s="9">
        <v>0</v>
      </c>
      <c r="F26" s="7" t="s">
        <v>37</v>
      </c>
    </row>
    <row r="27" spans="1:6" hidden="1" outlineLevel="1" x14ac:dyDescent="0.3">
      <c r="B27" s="7" t="s">
        <v>54</v>
      </c>
      <c r="C27" s="7" t="s">
        <v>55</v>
      </c>
      <c r="D27" s="9">
        <v>0</v>
      </c>
      <c r="E27" s="9">
        <v>0</v>
      </c>
      <c r="F27" s="7" t="s">
        <v>37</v>
      </c>
    </row>
    <row r="28" spans="1:6" hidden="1" outlineLevel="1" x14ac:dyDescent="0.3">
      <c r="B28" s="7" t="s">
        <v>56</v>
      </c>
      <c r="C28" s="7" t="s">
        <v>57</v>
      </c>
      <c r="D28" s="9">
        <v>200</v>
      </c>
      <c r="E28" s="9">
        <v>200</v>
      </c>
      <c r="F28" s="7" t="s">
        <v>37</v>
      </c>
    </row>
    <row r="29" spans="1:6" hidden="1" outlineLevel="1" x14ac:dyDescent="0.3">
      <c r="B29" s="7" t="s">
        <v>58</v>
      </c>
      <c r="C29" s="7" t="s">
        <v>59</v>
      </c>
      <c r="D29" s="9">
        <v>0</v>
      </c>
      <c r="E29" s="9">
        <v>0</v>
      </c>
      <c r="F29" s="7" t="s">
        <v>37</v>
      </c>
    </row>
    <row r="30" spans="1:6" hidden="1" outlineLevel="1" x14ac:dyDescent="0.3">
      <c r="B30" s="7" t="s">
        <v>60</v>
      </c>
      <c r="C30" s="7" t="s">
        <v>61</v>
      </c>
      <c r="D30" s="9">
        <v>0</v>
      </c>
      <c r="E30" s="9">
        <v>0</v>
      </c>
      <c r="F30" s="7" t="s">
        <v>37</v>
      </c>
    </row>
    <row r="31" spans="1:6" hidden="1" outlineLevel="1" x14ac:dyDescent="0.3">
      <c r="B31" s="7" t="s">
        <v>62</v>
      </c>
      <c r="C31" s="7" t="s">
        <v>63</v>
      </c>
      <c r="D31" s="9">
        <v>0</v>
      </c>
      <c r="E31" s="9">
        <v>0</v>
      </c>
      <c r="F31" s="7" t="s">
        <v>37</v>
      </c>
    </row>
    <row r="32" spans="1:6" hidden="1" outlineLevel="1" x14ac:dyDescent="0.3">
      <c r="B32" s="7" t="s">
        <v>64</v>
      </c>
      <c r="C32" s="7" t="s">
        <v>65</v>
      </c>
      <c r="D32" s="9">
        <v>100</v>
      </c>
      <c r="E32" s="9">
        <v>100</v>
      </c>
      <c r="F32" s="7" t="s">
        <v>37</v>
      </c>
    </row>
    <row r="33" spans="1:7" hidden="1" outlineLevel="1" x14ac:dyDescent="0.3">
      <c r="B33" s="7" t="s">
        <v>66</v>
      </c>
      <c r="C33" s="7" t="s">
        <v>67</v>
      </c>
      <c r="D33" s="9">
        <v>0</v>
      </c>
      <c r="E33" s="9">
        <v>0</v>
      </c>
      <c r="F33" s="7" t="s">
        <v>37</v>
      </c>
    </row>
    <row r="34" spans="1:7" hidden="1" outlineLevel="1" x14ac:dyDescent="0.3">
      <c r="B34" s="7" t="s">
        <v>68</v>
      </c>
      <c r="C34" s="7" t="s">
        <v>69</v>
      </c>
      <c r="D34" s="9">
        <v>40</v>
      </c>
      <c r="E34" s="9">
        <v>40</v>
      </c>
      <c r="F34" s="7" t="s">
        <v>37</v>
      </c>
    </row>
    <row r="35" spans="1:7" hidden="1" outlineLevel="1" x14ac:dyDescent="0.3">
      <c r="B35" s="7" t="s">
        <v>70</v>
      </c>
      <c r="C35" s="7" t="s">
        <v>71</v>
      </c>
      <c r="D35" s="9">
        <v>0</v>
      </c>
      <c r="E35" s="9">
        <v>0</v>
      </c>
      <c r="F35" s="7" t="s">
        <v>37</v>
      </c>
    </row>
    <row r="36" spans="1:7" ht="15" hidden="1" outlineLevel="1" thickBot="1" x14ac:dyDescent="0.35">
      <c r="B36" s="4" t="s">
        <v>72</v>
      </c>
      <c r="C36" s="4" t="s">
        <v>73</v>
      </c>
      <c r="D36" s="8">
        <v>160</v>
      </c>
      <c r="E36" s="8">
        <v>160</v>
      </c>
      <c r="F36" s="4" t="s">
        <v>37</v>
      </c>
    </row>
    <row r="37" spans="1:7" collapsed="1" x14ac:dyDescent="0.3">
      <c r="B37" s="6"/>
      <c r="C37" s="6"/>
      <c r="D37" s="10"/>
      <c r="E37" s="10"/>
      <c r="F37" s="6"/>
    </row>
    <row r="40" spans="1:7" ht="15" thickBot="1" x14ac:dyDescent="0.35">
      <c r="A40" t="s">
        <v>38</v>
      </c>
    </row>
    <row r="41" spans="1:7" ht="15" thickBot="1" x14ac:dyDescent="0.35">
      <c r="B41" s="5" t="s">
        <v>32</v>
      </c>
      <c r="C41" s="5" t="s">
        <v>33</v>
      </c>
      <c r="D41" s="5" t="s">
        <v>39</v>
      </c>
      <c r="E41" s="5" t="s">
        <v>40</v>
      </c>
      <c r="F41" s="5" t="s">
        <v>41</v>
      </c>
      <c r="G41" s="5" t="s">
        <v>42</v>
      </c>
    </row>
    <row r="42" spans="1:7" x14ac:dyDescent="0.3">
      <c r="B42" s="12" t="s">
        <v>109</v>
      </c>
      <c r="C42" s="11"/>
      <c r="D42" s="11"/>
      <c r="E42" s="11"/>
      <c r="F42" s="11"/>
      <c r="G42" s="11"/>
    </row>
    <row r="43" spans="1:7" hidden="1" outlineLevel="1" x14ac:dyDescent="0.3">
      <c r="B43" s="7" t="s">
        <v>74</v>
      </c>
      <c r="C43" s="7" t="s">
        <v>1</v>
      </c>
      <c r="D43" s="9">
        <v>100</v>
      </c>
      <c r="E43" s="7" t="s">
        <v>75</v>
      </c>
      <c r="F43" s="7" t="s">
        <v>76</v>
      </c>
      <c r="G43" s="7">
        <v>0</v>
      </c>
    </row>
    <row r="44" spans="1:7" hidden="1" outlineLevel="1" x14ac:dyDescent="0.3">
      <c r="B44" s="7" t="s">
        <v>77</v>
      </c>
      <c r="C44" s="7" t="s">
        <v>2</v>
      </c>
      <c r="D44" s="9">
        <v>200</v>
      </c>
      <c r="E44" s="7" t="s">
        <v>78</v>
      </c>
      <c r="F44" s="7" t="s">
        <v>76</v>
      </c>
      <c r="G44" s="7">
        <v>0</v>
      </c>
    </row>
    <row r="45" spans="1:7" hidden="1" outlineLevel="1" x14ac:dyDescent="0.3">
      <c r="B45" s="7" t="s">
        <v>79</v>
      </c>
      <c r="C45" s="7" t="s">
        <v>3</v>
      </c>
      <c r="D45" s="9">
        <v>80</v>
      </c>
      <c r="E45" s="7" t="s">
        <v>80</v>
      </c>
      <c r="F45" s="7" t="s">
        <v>76</v>
      </c>
      <c r="G45" s="7">
        <v>0</v>
      </c>
    </row>
    <row r="46" spans="1:7" hidden="1" outlineLevel="1" x14ac:dyDescent="0.3">
      <c r="B46" s="7" t="s">
        <v>81</v>
      </c>
      <c r="C46" s="7" t="s">
        <v>4</v>
      </c>
      <c r="D46" s="9">
        <v>60</v>
      </c>
      <c r="E46" s="7" t="s">
        <v>82</v>
      </c>
      <c r="F46" s="7" t="s">
        <v>76</v>
      </c>
      <c r="G46" s="7">
        <v>0</v>
      </c>
    </row>
    <row r="47" spans="1:7" hidden="1" outlineLevel="1" x14ac:dyDescent="0.3">
      <c r="B47" s="7" t="s">
        <v>83</v>
      </c>
      <c r="C47" s="7" t="s">
        <v>5</v>
      </c>
      <c r="D47" s="9">
        <v>160</v>
      </c>
      <c r="E47" s="7" t="s">
        <v>84</v>
      </c>
      <c r="F47" s="7" t="s">
        <v>76</v>
      </c>
      <c r="G47" s="7">
        <v>0</v>
      </c>
    </row>
    <row r="48" spans="1:7" collapsed="1" x14ac:dyDescent="0.3">
      <c r="B48" s="7"/>
      <c r="C48" s="7"/>
      <c r="D48" s="9"/>
      <c r="E48" s="7"/>
      <c r="F48" s="7"/>
      <c r="G48" s="7"/>
    </row>
    <row r="49" spans="2:7" x14ac:dyDescent="0.3">
      <c r="B49" s="13" t="s">
        <v>110</v>
      </c>
      <c r="C49" s="7"/>
      <c r="D49" s="9"/>
      <c r="E49" s="7"/>
      <c r="F49" s="7"/>
      <c r="G49" s="7"/>
    </row>
    <row r="50" spans="2:7" hidden="1" outlineLevel="1" x14ac:dyDescent="0.3">
      <c r="B50" s="7" t="s">
        <v>85</v>
      </c>
      <c r="C50" s="7" t="s">
        <v>6</v>
      </c>
      <c r="D50" s="9">
        <v>100</v>
      </c>
      <c r="E50" s="7" t="s">
        <v>86</v>
      </c>
      <c r="F50" s="7" t="s">
        <v>76</v>
      </c>
      <c r="G50" s="7">
        <v>0</v>
      </c>
    </row>
    <row r="51" spans="2:7" hidden="1" outlineLevel="1" x14ac:dyDescent="0.3">
      <c r="B51" s="7" t="s">
        <v>87</v>
      </c>
      <c r="C51" s="7" t="s">
        <v>7</v>
      </c>
      <c r="D51" s="9">
        <v>200</v>
      </c>
      <c r="E51" s="7" t="s">
        <v>88</v>
      </c>
      <c r="F51" s="7" t="s">
        <v>76</v>
      </c>
      <c r="G51" s="7">
        <v>0</v>
      </c>
    </row>
    <row r="52" spans="2:7" hidden="1" outlineLevel="1" x14ac:dyDescent="0.3">
      <c r="B52" s="7" t="s">
        <v>89</v>
      </c>
      <c r="C52" s="7" t="s">
        <v>8</v>
      </c>
      <c r="D52" s="9">
        <v>300</v>
      </c>
      <c r="E52" s="7" t="s">
        <v>90</v>
      </c>
      <c r="F52" s="7" t="s">
        <v>76</v>
      </c>
      <c r="G52" s="7">
        <v>0</v>
      </c>
    </row>
    <row r="53" spans="2:7" collapsed="1" x14ac:dyDescent="0.3">
      <c r="B53" s="7"/>
      <c r="C53" s="7"/>
      <c r="D53" s="9"/>
      <c r="E53" s="7"/>
      <c r="F53" s="7"/>
      <c r="G53" s="7"/>
    </row>
    <row r="54" spans="2:7" x14ac:dyDescent="0.3">
      <c r="B54" s="13" t="s">
        <v>111</v>
      </c>
      <c r="C54" s="7"/>
      <c r="D54" s="9"/>
      <c r="E54" s="7"/>
      <c r="F54" s="7"/>
      <c r="G54" s="7"/>
    </row>
    <row r="55" spans="2:7" hidden="1" outlineLevel="1" x14ac:dyDescent="0.3">
      <c r="B55" s="7" t="s">
        <v>44</v>
      </c>
      <c r="C55" s="7" t="s">
        <v>45</v>
      </c>
      <c r="D55" s="9">
        <v>0</v>
      </c>
      <c r="E55" s="7" t="s">
        <v>91</v>
      </c>
      <c r="F55" s="7" t="s">
        <v>76</v>
      </c>
      <c r="G55" s="9">
        <v>0</v>
      </c>
    </row>
    <row r="56" spans="2:7" hidden="1" outlineLevel="1" x14ac:dyDescent="0.3">
      <c r="B56" s="7" t="s">
        <v>46</v>
      </c>
      <c r="C56" s="7" t="s">
        <v>47</v>
      </c>
      <c r="D56" s="9">
        <v>0</v>
      </c>
      <c r="E56" s="7" t="s">
        <v>92</v>
      </c>
      <c r="F56" s="7" t="s">
        <v>76</v>
      </c>
      <c r="G56" s="9">
        <v>0</v>
      </c>
    </row>
    <row r="57" spans="2:7" hidden="1" outlineLevel="1" x14ac:dyDescent="0.3">
      <c r="B57" s="7" t="s">
        <v>48</v>
      </c>
      <c r="C57" s="7" t="s">
        <v>49</v>
      </c>
      <c r="D57" s="9">
        <v>40</v>
      </c>
      <c r="E57" s="7" t="s">
        <v>93</v>
      </c>
      <c r="F57" s="7" t="s">
        <v>94</v>
      </c>
      <c r="G57" s="9">
        <v>40</v>
      </c>
    </row>
    <row r="58" spans="2:7" hidden="1" outlineLevel="1" x14ac:dyDescent="0.3">
      <c r="B58" s="7" t="s">
        <v>50</v>
      </c>
      <c r="C58" s="7" t="s">
        <v>51</v>
      </c>
      <c r="D58" s="9">
        <v>60</v>
      </c>
      <c r="E58" s="7" t="s">
        <v>95</v>
      </c>
      <c r="F58" s="7" t="s">
        <v>94</v>
      </c>
      <c r="G58" s="9">
        <v>60</v>
      </c>
    </row>
    <row r="59" spans="2:7" hidden="1" outlineLevel="1" x14ac:dyDescent="0.3">
      <c r="B59" s="7" t="s">
        <v>52</v>
      </c>
      <c r="C59" s="7" t="s">
        <v>53</v>
      </c>
      <c r="D59" s="9">
        <v>0</v>
      </c>
      <c r="E59" s="7" t="s">
        <v>96</v>
      </c>
      <c r="F59" s="7" t="s">
        <v>76</v>
      </c>
      <c r="G59" s="9">
        <v>0</v>
      </c>
    </row>
    <row r="60" spans="2:7" hidden="1" outlineLevel="1" x14ac:dyDescent="0.3">
      <c r="B60" s="7" t="s">
        <v>54</v>
      </c>
      <c r="C60" s="7" t="s">
        <v>55</v>
      </c>
      <c r="D60" s="9">
        <v>0</v>
      </c>
      <c r="E60" s="7" t="s">
        <v>97</v>
      </c>
      <c r="F60" s="7" t="s">
        <v>76</v>
      </c>
      <c r="G60" s="9">
        <v>0</v>
      </c>
    </row>
    <row r="61" spans="2:7" hidden="1" outlineLevel="1" x14ac:dyDescent="0.3">
      <c r="B61" s="7" t="s">
        <v>56</v>
      </c>
      <c r="C61" s="7" t="s">
        <v>57</v>
      </c>
      <c r="D61" s="9">
        <v>200</v>
      </c>
      <c r="E61" s="7" t="s">
        <v>98</v>
      </c>
      <c r="F61" s="7" t="s">
        <v>94</v>
      </c>
      <c r="G61" s="9">
        <v>200</v>
      </c>
    </row>
    <row r="62" spans="2:7" hidden="1" outlineLevel="1" x14ac:dyDescent="0.3">
      <c r="B62" s="7" t="s">
        <v>58</v>
      </c>
      <c r="C62" s="7" t="s">
        <v>59</v>
      </c>
      <c r="D62" s="9">
        <v>0</v>
      </c>
      <c r="E62" s="7" t="s">
        <v>99</v>
      </c>
      <c r="F62" s="7" t="s">
        <v>76</v>
      </c>
      <c r="G62" s="9">
        <v>0</v>
      </c>
    </row>
    <row r="63" spans="2:7" hidden="1" outlineLevel="1" x14ac:dyDescent="0.3">
      <c r="B63" s="7" t="s">
        <v>60</v>
      </c>
      <c r="C63" s="7" t="s">
        <v>61</v>
      </c>
      <c r="D63" s="9">
        <v>0</v>
      </c>
      <c r="E63" s="7" t="s">
        <v>100</v>
      </c>
      <c r="F63" s="7" t="s">
        <v>76</v>
      </c>
      <c r="G63" s="9">
        <v>0</v>
      </c>
    </row>
    <row r="64" spans="2:7" hidden="1" outlineLevel="1" x14ac:dyDescent="0.3">
      <c r="B64" s="7" t="s">
        <v>62</v>
      </c>
      <c r="C64" s="7" t="s">
        <v>63</v>
      </c>
      <c r="D64" s="9">
        <v>0</v>
      </c>
      <c r="E64" s="7" t="s">
        <v>101</v>
      </c>
      <c r="F64" s="7" t="s">
        <v>76</v>
      </c>
      <c r="G64" s="9">
        <v>0</v>
      </c>
    </row>
    <row r="65" spans="2:7" hidden="1" outlineLevel="1" x14ac:dyDescent="0.3">
      <c r="B65" s="7" t="s">
        <v>64</v>
      </c>
      <c r="C65" s="7" t="s">
        <v>65</v>
      </c>
      <c r="D65" s="9">
        <v>100</v>
      </c>
      <c r="E65" s="7" t="s">
        <v>102</v>
      </c>
      <c r="F65" s="7" t="s">
        <v>94</v>
      </c>
      <c r="G65" s="9">
        <v>100</v>
      </c>
    </row>
    <row r="66" spans="2:7" hidden="1" outlineLevel="1" x14ac:dyDescent="0.3">
      <c r="B66" s="7" t="s">
        <v>66</v>
      </c>
      <c r="C66" s="7" t="s">
        <v>67</v>
      </c>
      <c r="D66" s="9">
        <v>0</v>
      </c>
      <c r="E66" s="7" t="s">
        <v>103</v>
      </c>
      <c r="F66" s="7" t="s">
        <v>76</v>
      </c>
      <c r="G66" s="9">
        <v>0</v>
      </c>
    </row>
    <row r="67" spans="2:7" hidden="1" outlineLevel="1" x14ac:dyDescent="0.3">
      <c r="B67" s="7" t="s">
        <v>68</v>
      </c>
      <c r="C67" s="7" t="s">
        <v>69</v>
      </c>
      <c r="D67" s="9">
        <v>40</v>
      </c>
      <c r="E67" s="7" t="s">
        <v>104</v>
      </c>
      <c r="F67" s="7" t="s">
        <v>94</v>
      </c>
      <c r="G67" s="9">
        <v>40</v>
      </c>
    </row>
    <row r="68" spans="2:7" hidden="1" outlineLevel="1" x14ac:dyDescent="0.3">
      <c r="B68" s="7" t="s">
        <v>70</v>
      </c>
      <c r="C68" s="7" t="s">
        <v>71</v>
      </c>
      <c r="D68" s="9">
        <v>0</v>
      </c>
      <c r="E68" s="7" t="s">
        <v>105</v>
      </c>
      <c r="F68" s="7" t="s">
        <v>76</v>
      </c>
      <c r="G68" s="9">
        <v>0</v>
      </c>
    </row>
    <row r="69" spans="2:7" hidden="1" outlineLevel="1" x14ac:dyDescent="0.3">
      <c r="B69" s="7" t="s">
        <v>72</v>
      </c>
      <c r="C69" s="7" t="s">
        <v>73</v>
      </c>
      <c r="D69" s="9">
        <v>160</v>
      </c>
      <c r="E69" s="7" t="s">
        <v>106</v>
      </c>
      <c r="F69" s="7" t="s">
        <v>94</v>
      </c>
      <c r="G69" s="9">
        <v>160</v>
      </c>
    </row>
    <row r="70" spans="2:7" collapsed="1" x14ac:dyDescent="0.3">
      <c r="B70" s="7"/>
      <c r="C70" s="7"/>
      <c r="D70" s="9"/>
      <c r="E70" s="7"/>
      <c r="F70" s="7"/>
      <c r="G70" s="9"/>
    </row>
    <row r="71" spans="2:7" ht="15" thickBot="1" x14ac:dyDescent="0.35">
      <c r="B71" s="4" t="s">
        <v>107</v>
      </c>
      <c r="C71" s="4"/>
      <c r="D71" s="4"/>
      <c r="E71" s="4"/>
      <c r="F71" s="4"/>
      <c r="G7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selection activeCell="J11" sqref="J11"/>
    </sheetView>
  </sheetViews>
  <sheetFormatPr defaultRowHeight="14.4" x14ac:dyDescent="0.3"/>
  <sheetData>
    <row r="1" spans="1:20" x14ac:dyDescent="0.3">
      <c r="A1">
        <v>1</v>
      </c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</row>
    <row r="3" spans="1:20" x14ac:dyDescent="0.3">
      <c r="A3" s="1" t="s">
        <v>6</v>
      </c>
      <c r="B3" s="1">
        <v>7</v>
      </c>
      <c r="C3" s="1">
        <v>6</v>
      </c>
      <c r="D3" s="1">
        <v>4</v>
      </c>
      <c r="E3" s="1">
        <v>3</v>
      </c>
      <c r="F3" s="1">
        <v>6</v>
      </c>
      <c r="G3" s="1">
        <v>100</v>
      </c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" t="s">
        <v>7</v>
      </c>
      <c r="B4" s="1">
        <v>8</v>
      </c>
      <c r="C4" s="1">
        <v>5</v>
      </c>
      <c r="D4" s="1">
        <v>15</v>
      </c>
      <c r="E4" s="1">
        <v>9</v>
      </c>
      <c r="F4" s="1">
        <v>10</v>
      </c>
      <c r="G4" s="1">
        <v>200</v>
      </c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1" t="s">
        <v>8</v>
      </c>
      <c r="B5" s="1">
        <v>4</v>
      </c>
      <c r="C5" s="1">
        <v>6</v>
      </c>
      <c r="D5" s="1">
        <v>3</v>
      </c>
      <c r="E5" s="1">
        <v>6</v>
      </c>
      <c r="F5" s="1">
        <v>2</v>
      </c>
      <c r="G5" s="1">
        <v>300</v>
      </c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1"/>
      <c r="B6" s="1">
        <v>100</v>
      </c>
      <c r="C6" s="1">
        <v>200</v>
      </c>
      <c r="D6" s="1">
        <v>80</v>
      </c>
      <c r="E6" s="1">
        <v>60</v>
      </c>
      <c r="F6" s="1">
        <v>160</v>
      </c>
      <c r="G6" s="1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1" t="s">
        <v>6</v>
      </c>
      <c r="B9" s="1">
        <v>0</v>
      </c>
      <c r="C9" s="1">
        <v>0</v>
      </c>
      <c r="D9" s="1">
        <v>40</v>
      </c>
      <c r="E9" s="1">
        <v>60</v>
      </c>
      <c r="F9" s="1">
        <v>0</v>
      </c>
      <c r="G9" s="1">
        <f>SUM(B9:F9)</f>
        <v>100</v>
      </c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" t="s">
        <v>7</v>
      </c>
      <c r="B10" s="1">
        <v>0</v>
      </c>
      <c r="C10" s="1">
        <v>200</v>
      </c>
      <c r="D10" s="1">
        <v>0</v>
      </c>
      <c r="E10" s="1">
        <v>0</v>
      </c>
      <c r="F10" s="1">
        <v>0</v>
      </c>
      <c r="G10" s="1">
        <f>SUM(B10:F10)</f>
        <v>200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1" t="s">
        <v>8</v>
      </c>
      <c r="B11" s="1">
        <v>100</v>
      </c>
      <c r="C11" s="1">
        <v>0</v>
      </c>
      <c r="D11" s="1">
        <v>40</v>
      </c>
      <c r="E11" s="1">
        <v>0</v>
      </c>
      <c r="F11" s="1">
        <v>160</v>
      </c>
      <c r="G11" s="1">
        <f>SUM(B11:F11)</f>
        <v>300</v>
      </c>
      <c r="I11" t="s">
        <v>10</v>
      </c>
      <c r="J11" t="s">
        <v>196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1"/>
      <c r="B12" s="1">
        <f>SUM(B9:B11)</f>
        <v>100</v>
      </c>
      <c r="C12" s="1">
        <f t="shared" ref="C12:F12" si="0">SUM(C9:C11)</f>
        <v>200</v>
      </c>
      <c r="D12" s="1">
        <f t="shared" si="0"/>
        <v>80</v>
      </c>
      <c r="E12" s="1">
        <f t="shared" si="0"/>
        <v>60</v>
      </c>
      <c r="F12" s="1">
        <f t="shared" si="0"/>
        <v>160</v>
      </c>
      <c r="G12" s="1"/>
      <c r="I12">
        <f>SUMPRODUCT(B3:F5,B9:F11)</f>
        <v>2180</v>
      </c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L13" s="2"/>
      <c r="M13" s="2"/>
      <c r="N13" s="2"/>
      <c r="O13" s="2"/>
      <c r="P13" s="2"/>
      <c r="Q13" s="2"/>
      <c r="R13" s="2"/>
      <c r="S13" s="2"/>
      <c r="T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FC6F-6E95-4586-BD9F-57CBF752681A}">
  <dimension ref="A2:J11"/>
  <sheetViews>
    <sheetView workbookViewId="0">
      <selection activeCell="E25" sqref="E25"/>
    </sheetView>
  </sheetViews>
  <sheetFormatPr defaultRowHeight="14.4" x14ac:dyDescent="0.3"/>
  <sheetData>
    <row r="2" spans="1:10" x14ac:dyDescent="0.3">
      <c r="A2" t="s">
        <v>113</v>
      </c>
      <c r="E2" s="1" t="s">
        <v>122</v>
      </c>
      <c r="F2" s="1" t="s">
        <v>123</v>
      </c>
      <c r="G2" s="1" t="s">
        <v>124</v>
      </c>
      <c r="H2" s="1" t="s">
        <v>125</v>
      </c>
    </row>
    <row r="3" spans="1:10" x14ac:dyDescent="0.3">
      <c r="A3" t="s">
        <v>112</v>
      </c>
      <c r="B3">
        <v>5</v>
      </c>
      <c r="D3" s="14" t="s">
        <v>126</v>
      </c>
      <c r="E3" s="1">
        <v>220</v>
      </c>
      <c r="F3" s="1">
        <v>400</v>
      </c>
      <c r="G3" s="1">
        <v>100</v>
      </c>
      <c r="H3" s="1">
        <v>200</v>
      </c>
      <c r="J3">
        <f t="array" ref="J3">TRANSPOSE(B8:B11)</f>
        <v>4</v>
      </c>
    </row>
    <row r="4" spans="1:10" x14ac:dyDescent="0.3">
      <c r="A4" t="s">
        <v>114</v>
      </c>
      <c r="B4">
        <v>7</v>
      </c>
      <c r="D4" s="14" t="s">
        <v>127</v>
      </c>
      <c r="E4" s="1">
        <v>190</v>
      </c>
      <c r="F4" s="1">
        <v>500</v>
      </c>
      <c r="G4" s="1">
        <v>80</v>
      </c>
      <c r="H4" s="1">
        <v>400</v>
      </c>
      <c r="J4">
        <f t="array" ref="J4">TRANSPOSE(B9:B12)</f>
        <v>8</v>
      </c>
    </row>
    <row r="5" spans="1:10" x14ac:dyDescent="0.3">
      <c r="A5" t="s">
        <v>115</v>
      </c>
      <c r="B5">
        <v>3</v>
      </c>
      <c r="D5" s="14" t="s">
        <v>128</v>
      </c>
      <c r="E5" s="1">
        <v>260</v>
      </c>
      <c r="F5" s="1">
        <v>300</v>
      </c>
      <c r="G5" s="1">
        <v>150</v>
      </c>
      <c r="H5" s="1">
        <v>600</v>
      </c>
      <c r="J5">
        <f t="array" ref="J5">TRANSPOSE(B10:B13)</f>
        <v>6</v>
      </c>
    </row>
    <row r="6" spans="1:10" x14ac:dyDescent="0.3">
      <c r="A6" t="s">
        <v>116</v>
      </c>
      <c r="B6">
        <v>9</v>
      </c>
      <c r="D6" s="14" t="s">
        <v>129</v>
      </c>
      <c r="E6" s="1">
        <v>130</v>
      </c>
      <c r="F6" s="1">
        <v>580</v>
      </c>
      <c r="G6" s="1">
        <v>190</v>
      </c>
      <c r="H6" s="1">
        <v>500</v>
      </c>
      <c r="J6">
        <f t="array" ref="J6">TRANSPOSE(B11:B14)</f>
        <v>6</v>
      </c>
    </row>
    <row r="7" spans="1:10" x14ac:dyDescent="0.3">
      <c r="A7" t="s">
        <v>121</v>
      </c>
    </row>
    <row r="8" spans="1:10" x14ac:dyDescent="0.3">
      <c r="A8" t="s">
        <v>117</v>
      </c>
      <c r="B8" s="15">
        <v>4</v>
      </c>
      <c r="E8">
        <f t="array" ref="E8:H8">TRANSPOSE(B3:B6)</f>
        <v>5</v>
      </c>
      <c r="F8">
        <v>7</v>
      </c>
      <c r="G8">
        <v>3</v>
      </c>
      <c r="H8">
        <v>9</v>
      </c>
    </row>
    <row r="9" spans="1:10" x14ac:dyDescent="0.3">
      <c r="A9" t="s">
        <v>118</v>
      </c>
      <c r="B9" s="15">
        <v>8</v>
      </c>
    </row>
    <row r="10" spans="1:10" x14ac:dyDescent="0.3">
      <c r="A10" t="s">
        <v>119</v>
      </c>
      <c r="B10" s="15">
        <v>6</v>
      </c>
    </row>
    <row r="11" spans="1:10" x14ac:dyDescent="0.3">
      <c r="A11" t="s">
        <v>120</v>
      </c>
      <c r="B11" s="15">
        <v>6</v>
      </c>
    </row>
  </sheetData>
  <pageMargins left="0.7" right="0.7" top="0.75" bottom="0.75" header="0.3" footer="0.3"/>
  <ignoredErrors>
    <ignoredError sqref="J4:J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EC1E-C162-44E8-AF30-8FFD93513696}">
  <dimension ref="A1:G73"/>
  <sheetViews>
    <sheetView showGridLines="0" workbookViewId="0"/>
  </sheetViews>
  <sheetFormatPr defaultRowHeight="14.4" outlineLevelRow="1" x14ac:dyDescent="0.3"/>
  <cols>
    <col min="1" max="1" width="2.33203125" customWidth="1"/>
    <col min="2" max="2" width="26.77734375" bestFit="1" customWidth="1"/>
    <col min="3" max="3" width="10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3" t="s">
        <v>20</v>
      </c>
    </row>
    <row r="2" spans="1:5" x14ac:dyDescent="0.3">
      <c r="A2" s="3" t="s">
        <v>130</v>
      </c>
    </row>
    <row r="3" spans="1:5" x14ac:dyDescent="0.3">
      <c r="A3" s="3" t="s">
        <v>131</v>
      </c>
    </row>
    <row r="4" spans="1:5" x14ac:dyDescent="0.3">
      <c r="A4" s="3" t="s">
        <v>23</v>
      </c>
    </row>
    <row r="5" spans="1:5" x14ac:dyDescent="0.3">
      <c r="A5" s="3" t="s">
        <v>24</v>
      </c>
    </row>
    <row r="6" spans="1:5" hidden="1" outlineLevel="1" x14ac:dyDescent="0.3">
      <c r="A6" s="3"/>
      <c r="B6" t="s">
        <v>25</v>
      </c>
    </row>
    <row r="7" spans="1:5" hidden="1" outlineLevel="1" x14ac:dyDescent="0.3">
      <c r="A7" s="3"/>
      <c r="B7" t="s">
        <v>26</v>
      </c>
    </row>
    <row r="8" spans="1:5" hidden="1" outlineLevel="1" x14ac:dyDescent="0.3">
      <c r="A8" s="3"/>
      <c r="B8" t="s">
        <v>132</v>
      </c>
    </row>
    <row r="9" spans="1:5" collapsed="1" x14ac:dyDescent="0.3">
      <c r="A9" s="3" t="s">
        <v>28</v>
      </c>
    </row>
    <row r="10" spans="1:5" hidden="1" outlineLevel="1" x14ac:dyDescent="0.3">
      <c r="B10" t="s">
        <v>29</v>
      </c>
    </row>
    <row r="11" spans="1:5" hidden="1" outlineLevel="1" x14ac:dyDescent="0.3">
      <c r="B11" t="s">
        <v>30</v>
      </c>
    </row>
    <row r="12" spans="1:5" collapsed="1" x14ac:dyDescent="0.3"/>
    <row r="14" spans="1:5" ht="15" thickBot="1" x14ac:dyDescent="0.35">
      <c r="A14" t="s">
        <v>31</v>
      </c>
    </row>
    <row r="15" spans="1:5" ht="15" thickBot="1" x14ac:dyDescent="0.35">
      <c r="B15" s="5" t="s">
        <v>32</v>
      </c>
      <c r="C15" s="5" t="s">
        <v>33</v>
      </c>
      <c r="D15" s="5" t="s">
        <v>34</v>
      </c>
      <c r="E15" s="5" t="s">
        <v>35</v>
      </c>
    </row>
    <row r="16" spans="1:5" ht="15" thickBot="1" x14ac:dyDescent="0.35">
      <c r="B16" s="4" t="s">
        <v>43</v>
      </c>
      <c r="C16" s="4" t="s">
        <v>133</v>
      </c>
      <c r="D16" s="8">
        <v>3906</v>
      </c>
      <c r="E16" s="8">
        <v>3906</v>
      </c>
    </row>
    <row r="19" spans="1:6" ht="15" thickBot="1" x14ac:dyDescent="0.35">
      <c r="A19" t="s">
        <v>36</v>
      </c>
    </row>
    <row r="20" spans="1:6" ht="15" thickBot="1" x14ac:dyDescent="0.35">
      <c r="B20" s="5" t="s">
        <v>32</v>
      </c>
      <c r="C20" s="5" t="s">
        <v>33</v>
      </c>
      <c r="D20" s="5" t="s">
        <v>34</v>
      </c>
      <c r="E20" s="5" t="s">
        <v>35</v>
      </c>
      <c r="F20" s="5" t="s">
        <v>37</v>
      </c>
    </row>
    <row r="21" spans="1:6" x14ac:dyDescent="0.3">
      <c r="B21" s="12" t="s">
        <v>176</v>
      </c>
      <c r="C21" s="11"/>
      <c r="D21" s="11"/>
      <c r="E21" s="11"/>
      <c r="F21" s="11"/>
    </row>
    <row r="22" spans="1:6" hidden="1" outlineLevel="1" x14ac:dyDescent="0.3">
      <c r="B22" s="7" t="s">
        <v>54</v>
      </c>
      <c r="C22" s="7" t="s">
        <v>134</v>
      </c>
      <c r="D22" s="9">
        <v>0</v>
      </c>
      <c r="E22" s="9">
        <v>0</v>
      </c>
      <c r="F22" s="7" t="s">
        <v>37</v>
      </c>
    </row>
    <row r="23" spans="1:6" hidden="1" outlineLevel="1" x14ac:dyDescent="0.3">
      <c r="B23" s="7" t="s">
        <v>56</v>
      </c>
      <c r="C23" s="7" t="s">
        <v>135</v>
      </c>
      <c r="D23" s="9">
        <v>0</v>
      </c>
      <c r="E23" s="9">
        <v>0</v>
      </c>
      <c r="F23" s="7" t="s">
        <v>37</v>
      </c>
    </row>
    <row r="24" spans="1:6" hidden="1" outlineLevel="1" x14ac:dyDescent="0.3">
      <c r="B24" s="7" t="s">
        <v>58</v>
      </c>
      <c r="C24" s="7" t="s">
        <v>136</v>
      </c>
      <c r="D24" s="9">
        <v>0</v>
      </c>
      <c r="E24" s="9">
        <v>0</v>
      </c>
      <c r="F24" s="7" t="s">
        <v>37</v>
      </c>
    </row>
    <row r="25" spans="1:6" hidden="1" outlineLevel="1" x14ac:dyDescent="0.3">
      <c r="B25" s="7" t="s">
        <v>60</v>
      </c>
      <c r="C25" s="7" t="s">
        <v>137</v>
      </c>
      <c r="D25" s="9">
        <v>4</v>
      </c>
      <c r="E25" s="9">
        <v>4</v>
      </c>
      <c r="F25" s="7" t="s">
        <v>37</v>
      </c>
    </row>
    <row r="26" spans="1:6" hidden="1" outlineLevel="1" x14ac:dyDescent="0.3">
      <c r="B26" s="7" t="s">
        <v>64</v>
      </c>
      <c r="C26" s="7" t="s">
        <v>138</v>
      </c>
      <c r="D26" s="9">
        <v>5</v>
      </c>
      <c r="E26" s="9">
        <v>5</v>
      </c>
      <c r="F26" s="7" t="s">
        <v>37</v>
      </c>
    </row>
    <row r="27" spans="1:6" hidden="1" outlineLevel="1" x14ac:dyDescent="0.3">
      <c r="B27" s="7" t="s">
        <v>66</v>
      </c>
      <c r="C27" s="7" t="s">
        <v>139</v>
      </c>
      <c r="D27" s="9">
        <v>0</v>
      </c>
      <c r="E27" s="9">
        <v>0</v>
      </c>
      <c r="F27" s="7" t="s">
        <v>37</v>
      </c>
    </row>
    <row r="28" spans="1:6" hidden="1" outlineLevel="1" x14ac:dyDescent="0.3">
      <c r="B28" s="7" t="s">
        <v>68</v>
      </c>
      <c r="C28" s="7" t="s">
        <v>140</v>
      </c>
      <c r="D28" s="9">
        <v>3</v>
      </c>
      <c r="E28" s="9">
        <v>3</v>
      </c>
      <c r="F28" s="7" t="s">
        <v>37</v>
      </c>
    </row>
    <row r="29" spans="1:6" hidden="1" outlineLevel="1" x14ac:dyDescent="0.3">
      <c r="B29" s="7" t="s">
        <v>70</v>
      </c>
      <c r="C29" s="7" t="s">
        <v>141</v>
      </c>
      <c r="D29" s="9">
        <v>0</v>
      </c>
      <c r="E29" s="9">
        <v>0</v>
      </c>
      <c r="F29" s="7" t="s">
        <v>37</v>
      </c>
    </row>
    <row r="30" spans="1:6" hidden="1" outlineLevel="1" x14ac:dyDescent="0.3">
      <c r="B30" s="7" t="s">
        <v>74</v>
      </c>
      <c r="C30" s="7" t="s">
        <v>142</v>
      </c>
      <c r="D30" s="9">
        <v>0</v>
      </c>
      <c r="E30" s="9">
        <v>0</v>
      </c>
      <c r="F30" s="7" t="s">
        <v>37</v>
      </c>
    </row>
    <row r="31" spans="1:6" hidden="1" outlineLevel="1" x14ac:dyDescent="0.3">
      <c r="B31" s="7" t="s">
        <v>77</v>
      </c>
      <c r="C31" s="7" t="s">
        <v>143</v>
      </c>
      <c r="D31" s="9">
        <v>6</v>
      </c>
      <c r="E31" s="9">
        <v>6</v>
      </c>
      <c r="F31" s="7" t="s">
        <v>37</v>
      </c>
    </row>
    <row r="32" spans="1:6" hidden="1" outlineLevel="1" x14ac:dyDescent="0.3">
      <c r="B32" s="7" t="s">
        <v>79</v>
      </c>
      <c r="C32" s="7" t="s">
        <v>144</v>
      </c>
      <c r="D32" s="9">
        <v>0</v>
      </c>
      <c r="E32" s="9">
        <v>0</v>
      </c>
      <c r="F32" s="7" t="s">
        <v>37</v>
      </c>
    </row>
    <row r="33" spans="1:7" hidden="1" outlineLevel="1" x14ac:dyDescent="0.3">
      <c r="B33" s="7" t="s">
        <v>81</v>
      </c>
      <c r="C33" s="7" t="s">
        <v>145</v>
      </c>
      <c r="D33" s="9">
        <v>0</v>
      </c>
      <c r="E33" s="9">
        <v>0</v>
      </c>
      <c r="F33" s="7" t="s">
        <v>37</v>
      </c>
    </row>
    <row r="34" spans="1:7" hidden="1" outlineLevel="1" x14ac:dyDescent="0.3">
      <c r="B34" s="7" t="s">
        <v>146</v>
      </c>
      <c r="C34" s="7" t="s">
        <v>147</v>
      </c>
      <c r="D34" s="9">
        <v>0</v>
      </c>
      <c r="E34" s="9">
        <v>0</v>
      </c>
      <c r="F34" s="7" t="s">
        <v>37</v>
      </c>
    </row>
    <row r="35" spans="1:7" hidden="1" outlineLevel="1" x14ac:dyDescent="0.3">
      <c r="B35" s="7" t="s">
        <v>148</v>
      </c>
      <c r="C35" s="7" t="s">
        <v>149</v>
      </c>
      <c r="D35" s="9">
        <v>1</v>
      </c>
      <c r="E35" s="9">
        <v>1</v>
      </c>
      <c r="F35" s="7" t="s">
        <v>37</v>
      </c>
    </row>
    <row r="36" spans="1:7" hidden="1" outlineLevel="1" x14ac:dyDescent="0.3">
      <c r="B36" s="7" t="s">
        <v>150</v>
      </c>
      <c r="C36" s="7" t="s">
        <v>151</v>
      </c>
      <c r="D36" s="9">
        <v>0</v>
      </c>
      <c r="E36" s="9">
        <v>0</v>
      </c>
      <c r="F36" s="7" t="s">
        <v>37</v>
      </c>
    </row>
    <row r="37" spans="1:7" ht="15" hidden="1" outlineLevel="1" thickBot="1" x14ac:dyDescent="0.35">
      <c r="B37" s="4" t="s">
        <v>152</v>
      </c>
      <c r="C37" s="4" t="s">
        <v>153</v>
      </c>
      <c r="D37" s="8">
        <v>5</v>
      </c>
      <c r="E37" s="8">
        <v>5</v>
      </c>
      <c r="F37" s="4" t="s">
        <v>37</v>
      </c>
    </row>
    <row r="38" spans="1:7" collapsed="1" x14ac:dyDescent="0.3">
      <c r="B38" s="6"/>
      <c r="C38" s="6"/>
      <c r="D38" s="10"/>
      <c r="E38" s="10"/>
      <c r="F38" s="6"/>
    </row>
    <row r="41" spans="1:7" ht="15" thickBot="1" x14ac:dyDescent="0.35">
      <c r="A41" t="s">
        <v>38</v>
      </c>
    </row>
    <row r="42" spans="1:7" ht="15" thickBot="1" x14ac:dyDescent="0.35">
      <c r="B42" s="5" t="s">
        <v>32</v>
      </c>
      <c r="C42" s="5" t="s">
        <v>33</v>
      </c>
      <c r="D42" s="5" t="s">
        <v>39</v>
      </c>
      <c r="E42" s="5" t="s">
        <v>40</v>
      </c>
      <c r="F42" s="5" t="s">
        <v>41</v>
      </c>
      <c r="G42" s="5" t="s">
        <v>42</v>
      </c>
    </row>
    <row r="43" spans="1:7" x14ac:dyDescent="0.3">
      <c r="B43" s="12" t="s">
        <v>177</v>
      </c>
      <c r="C43" s="11"/>
      <c r="D43" s="11"/>
      <c r="E43" s="11"/>
      <c r="F43" s="11"/>
      <c r="G43" s="11"/>
    </row>
    <row r="44" spans="1:7" hidden="1" outlineLevel="1" x14ac:dyDescent="0.3">
      <c r="B44" s="7" t="s">
        <v>154</v>
      </c>
      <c r="C44" s="7" t="s">
        <v>122</v>
      </c>
      <c r="D44" s="9">
        <v>5</v>
      </c>
      <c r="E44" s="7" t="s">
        <v>155</v>
      </c>
      <c r="F44" s="7" t="s">
        <v>76</v>
      </c>
      <c r="G44" s="7">
        <v>0</v>
      </c>
    </row>
    <row r="45" spans="1:7" hidden="1" outlineLevel="1" x14ac:dyDescent="0.3">
      <c r="B45" s="7" t="s">
        <v>156</v>
      </c>
      <c r="C45" s="7" t="s">
        <v>123</v>
      </c>
      <c r="D45" s="9">
        <v>7</v>
      </c>
      <c r="E45" s="7" t="s">
        <v>157</v>
      </c>
      <c r="F45" s="7" t="s">
        <v>76</v>
      </c>
      <c r="G45" s="7">
        <v>0</v>
      </c>
    </row>
    <row r="46" spans="1:7" hidden="1" outlineLevel="1" x14ac:dyDescent="0.3">
      <c r="B46" s="7" t="s">
        <v>158</v>
      </c>
      <c r="C46" s="7" t="s">
        <v>124</v>
      </c>
      <c r="D46" s="9">
        <v>3</v>
      </c>
      <c r="E46" s="7" t="s">
        <v>159</v>
      </c>
      <c r="F46" s="7" t="s">
        <v>76</v>
      </c>
      <c r="G46" s="7">
        <v>0</v>
      </c>
    </row>
    <row r="47" spans="1:7" hidden="1" outlineLevel="1" x14ac:dyDescent="0.3">
      <c r="B47" s="7" t="s">
        <v>160</v>
      </c>
      <c r="C47" s="7" t="s">
        <v>125</v>
      </c>
      <c r="D47" s="9">
        <v>9</v>
      </c>
      <c r="E47" s="7" t="s">
        <v>161</v>
      </c>
      <c r="F47" s="7" t="s">
        <v>76</v>
      </c>
      <c r="G47" s="7">
        <v>0</v>
      </c>
    </row>
    <row r="48" spans="1:7" collapsed="1" x14ac:dyDescent="0.3">
      <c r="B48" s="7"/>
      <c r="C48" s="7"/>
      <c r="D48" s="9"/>
      <c r="E48" s="7"/>
      <c r="F48" s="7"/>
      <c r="G48" s="7"/>
    </row>
    <row r="49" spans="2:7" x14ac:dyDescent="0.3">
      <c r="B49" s="13" t="s">
        <v>178</v>
      </c>
      <c r="C49" s="7"/>
      <c r="D49" s="9"/>
      <c r="E49" s="7"/>
      <c r="F49" s="7"/>
      <c r="G49" s="7"/>
    </row>
    <row r="50" spans="2:7" hidden="1" outlineLevel="1" x14ac:dyDescent="0.3">
      <c r="B50" s="7" t="s">
        <v>62</v>
      </c>
      <c r="C50" s="7" t="s">
        <v>126</v>
      </c>
      <c r="D50" s="9">
        <v>4</v>
      </c>
      <c r="E50" s="7" t="s">
        <v>162</v>
      </c>
      <c r="F50" s="7" t="s">
        <v>76</v>
      </c>
      <c r="G50" s="7">
        <v>0</v>
      </c>
    </row>
    <row r="51" spans="2:7" hidden="1" outlineLevel="1" x14ac:dyDescent="0.3">
      <c r="B51" s="7" t="s">
        <v>72</v>
      </c>
      <c r="C51" s="7" t="s">
        <v>127</v>
      </c>
      <c r="D51" s="9">
        <v>8</v>
      </c>
      <c r="E51" s="7" t="s">
        <v>163</v>
      </c>
      <c r="F51" s="7" t="s">
        <v>76</v>
      </c>
      <c r="G51" s="7">
        <v>0</v>
      </c>
    </row>
    <row r="52" spans="2:7" hidden="1" outlineLevel="1" x14ac:dyDescent="0.3">
      <c r="B52" s="7" t="s">
        <v>83</v>
      </c>
      <c r="C52" s="7" t="s">
        <v>128</v>
      </c>
      <c r="D52" s="9">
        <v>6</v>
      </c>
      <c r="E52" s="7" t="s">
        <v>164</v>
      </c>
      <c r="F52" s="7" t="s">
        <v>76</v>
      </c>
      <c r="G52" s="7">
        <v>0</v>
      </c>
    </row>
    <row r="53" spans="2:7" hidden="1" outlineLevel="1" x14ac:dyDescent="0.3">
      <c r="B53" s="7" t="s">
        <v>165</v>
      </c>
      <c r="C53" s="7" t="s">
        <v>129</v>
      </c>
      <c r="D53" s="9">
        <v>6</v>
      </c>
      <c r="E53" s="7" t="s">
        <v>166</v>
      </c>
      <c r="F53" s="7" t="s">
        <v>76</v>
      </c>
      <c r="G53" s="7">
        <v>0</v>
      </c>
    </row>
    <row r="54" spans="2:7" collapsed="1" x14ac:dyDescent="0.3">
      <c r="B54" s="7"/>
      <c r="C54" s="7"/>
      <c r="D54" s="9"/>
      <c r="E54" s="7"/>
      <c r="F54" s="7"/>
      <c r="G54" s="7"/>
    </row>
    <row r="55" spans="2:7" x14ac:dyDescent="0.3">
      <c r="B55" s="13" t="s">
        <v>179</v>
      </c>
      <c r="C55" s="7"/>
      <c r="D55" s="9"/>
      <c r="E55" s="7"/>
      <c r="F55" s="7"/>
      <c r="G55" s="7"/>
    </row>
    <row r="56" spans="2:7" hidden="1" outlineLevel="1" x14ac:dyDescent="0.3">
      <c r="B56" s="7" t="s">
        <v>54</v>
      </c>
      <c r="C56" s="7" t="s">
        <v>134</v>
      </c>
      <c r="D56" s="9">
        <v>0</v>
      </c>
      <c r="E56" s="7" t="s">
        <v>97</v>
      </c>
      <c r="F56" s="7" t="s">
        <v>76</v>
      </c>
      <c r="G56" s="9">
        <v>0</v>
      </c>
    </row>
    <row r="57" spans="2:7" hidden="1" outlineLevel="1" x14ac:dyDescent="0.3">
      <c r="B57" s="7" t="s">
        <v>56</v>
      </c>
      <c r="C57" s="7" t="s">
        <v>135</v>
      </c>
      <c r="D57" s="9">
        <v>0</v>
      </c>
      <c r="E57" s="7" t="s">
        <v>98</v>
      </c>
      <c r="F57" s="7" t="s">
        <v>76</v>
      </c>
      <c r="G57" s="9">
        <v>0</v>
      </c>
    </row>
    <row r="58" spans="2:7" hidden="1" outlineLevel="1" x14ac:dyDescent="0.3">
      <c r="B58" s="7" t="s">
        <v>58</v>
      </c>
      <c r="C58" s="7" t="s">
        <v>136</v>
      </c>
      <c r="D58" s="9">
        <v>0</v>
      </c>
      <c r="E58" s="7" t="s">
        <v>99</v>
      </c>
      <c r="F58" s="7" t="s">
        <v>76</v>
      </c>
      <c r="G58" s="9">
        <v>0</v>
      </c>
    </row>
    <row r="59" spans="2:7" hidden="1" outlineLevel="1" x14ac:dyDescent="0.3">
      <c r="B59" s="7" t="s">
        <v>60</v>
      </c>
      <c r="C59" s="7" t="s">
        <v>137</v>
      </c>
      <c r="D59" s="9">
        <v>4</v>
      </c>
      <c r="E59" s="7" t="s">
        <v>100</v>
      </c>
      <c r="F59" s="7" t="s">
        <v>94</v>
      </c>
      <c r="G59" s="9">
        <v>4</v>
      </c>
    </row>
    <row r="60" spans="2:7" hidden="1" outlineLevel="1" x14ac:dyDescent="0.3">
      <c r="B60" s="7" t="s">
        <v>64</v>
      </c>
      <c r="C60" s="7" t="s">
        <v>138</v>
      </c>
      <c r="D60" s="9">
        <v>5</v>
      </c>
      <c r="E60" s="7" t="s">
        <v>102</v>
      </c>
      <c r="F60" s="7" t="s">
        <v>94</v>
      </c>
      <c r="G60" s="9">
        <v>5</v>
      </c>
    </row>
    <row r="61" spans="2:7" hidden="1" outlineLevel="1" x14ac:dyDescent="0.3">
      <c r="B61" s="7" t="s">
        <v>66</v>
      </c>
      <c r="C61" s="7" t="s">
        <v>139</v>
      </c>
      <c r="D61" s="9">
        <v>0</v>
      </c>
      <c r="E61" s="7" t="s">
        <v>103</v>
      </c>
      <c r="F61" s="7" t="s">
        <v>76</v>
      </c>
      <c r="G61" s="9">
        <v>0</v>
      </c>
    </row>
    <row r="62" spans="2:7" hidden="1" outlineLevel="1" x14ac:dyDescent="0.3">
      <c r="B62" s="7" t="s">
        <v>68</v>
      </c>
      <c r="C62" s="7" t="s">
        <v>140</v>
      </c>
      <c r="D62" s="9">
        <v>3</v>
      </c>
      <c r="E62" s="7" t="s">
        <v>104</v>
      </c>
      <c r="F62" s="7" t="s">
        <v>94</v>
      </c>
      <c r="G62" s="9">
        <v>3</v>
      </c>
    </row>
    <row r="63" spans="2:7" hidden="1" outlineLevel="1" x14ac:dyDescent="0.3">
      <c r="B63" s="7" t="s">
        <v>70</v>
      </c>
      <c r="C63" s="7" t="s">
        <v>141</v>
      </c>
      <c r="D63" s="9">
        <v>0</v>
      </c>
      <c r="E63" s="7" t="s">
        <v>105</v>
      </c>
      <c r="F63" s="7" t="s">
        <v>76</v>
      </c>
      <c r="G63" s="9">
        <v>0</v>
      </c>
    </row>
    <row r="64" spans="2:7" hidden="1" outlineLevel="1" x14ac:dyDescent="0.3">
      <c r="B64" s="7" t="s">
        <v>74</v>
      </c>
      <c r="C64" s="7" t="s">
        <v>142</v>
      </c>
      <c r="D64" s="9">
        <v>0</v>
      </c>
      <c r="E64" s="7" t="s">
        <v>167</v>
      </c>
      <c r="F64" s="7" t="s">
        <v>76</v>
      </c>
      <c r="G64" s="9">
        <v>0</v>
      </c>
    </row>
    <row r="65" spans="2:7" hidden="1" outlineLevel="1" x14ac:dyDescent="0.3">
      <c r="B65" s="7" t="s">
        <v>77</v>
      </c>
      <c r="C65" s="7" t="s">
        <v>143</v>
      </c>
      <c r="D65" s="9">
        <v>6</v>
      </c>
      <c r="E65" s="7" t="s">
        <v>168</v>
      </c>
      <c r="F65" s="7" t="s">
        <v>94</v>
      </c>
      <c r="G65" s="9">
        <v>6</v>
      </c>
    </row>
    <row r="66" spans="2:7" hidden="1" outlineLevel="1" x14ac:dyDescent="0.3">
      <c r="B66" s="7" t="s">
        <v>79</v>
      </c>
      <c r="C66" s="7" t="s">
        <v>144</v>
      </c>
      <c r="D66" s="9">
        <v>0</v>
      </c>
      <c r="E66" s="7" t="s">
        <v>169</v>
      </c>
      <c r="F66" s="7" t="s">
        <v>76</v>
      </c>
      <c r="G66" s="9">
        <v>0</v>
      </c>
    </row>
    <row r="67" spans="2:7" hidden="1" outlineLevel="1" x14ac:dyDescent="0.3">
      <c r="B67" s="7" t="s">
        <v>81</v>
      </c>
      <c r="C67" s="7" t="s">
        <v>145</v>
      </c>
      <c r="D67" s="9">
        <v>0</v>
      </c>
      <c r="E67" s="7" t="s">
        <v>170</v>
      </c>
      <c r="F67" s="7" t="s">
        <v>76</v>
      </c>
      <c r="G67" s="9">
        <v>0</v>
      </c>
    </row>
    <row r="68" spans="2:7" hidden="1" outlineLevel="1" x14ac:dyDescent="0.3">
      <c r="B68" s="7" t="s">
        <v>146</v>
      </c>
      <c r="C68" s="7" t="s">
        <v>147</v>
      </c>
      <c r="D68" s="9">
        <v>0</v>
      </c>
      <c r="E68" s="7" t="s">
        <v>171</v>
      </c>
      <c r="F68" s="7" t="s">
        <v>76</v>
      </c>
      <c r="G68" s="9">
        <v>0</v>
      </c>
    </row>
    <row r="69" spans="2:7" hidden="1" outlineLevel="1" x14ac:dyDescent="0.3">
      <c r="B69" s="7" t="s">
        <v>148</v>
      </c>
      <c r="C69" s="7" t="s">
        <v>149</v>
      </c>
      <c r="D69" s="9">
        <v>1</v>
      </c>
      <c r="E69" s="7" t="s">
        <v>172</v>
      </c>
      <c r="F69" s="7" t="s">
        <v>94</v>
      </c>
      <c r="G69" s="9">
        <v>1</v>
      </c>
    </row>
    <row r="70" spans="2:7" hidden="1" outlineLevel="1" x14ac:dyDescent="0.3">
      <c r="B70" s="7" t="s">
        <v>150</v>
      </c>
      <c r="C70" s="7" t="s">
        <v>151</v>
      </c>
      <c r="D70" s="9">
        <v>0</v>
      </c>
      <c r="E70" s="7" t="s">
        <v>173</v>
      </c>
      <c r="F70" s="7" t="s">
        <v>76</v>
      </c>
      <c r="G70" s="9">
        <v>0</v>
      </c>
    </row>
    <row r="71" spans="2:7" hidden="1" outlineLevel="1" x14ac:dyDescent="0.3">
      <c r="B71" s="7" t="s">
        <v>152</v>
      </c>
      <c r="C71" s="7" t="s">
        <v>153</v>
      </c>
      <c r="D71" s="9">
        <v>5</v>
      </c>
      <c r="E71" s="7" t="s">
        <v>174</v>
      </c>
      <c r="F71" s="7" t="s">
        <v>94</v>
      </c>
      <c r="G71" s="9">
        <v>5</v>
      </c>
    </row>
    <row r="72" spans="2:7" collapsed="1" x14ac:dyDescent="0.3">
      <c r="B72" s="7"/>
      <c r="C72" s="7"/>
      <c r="D72" s="9"/>
      <c r="E72" s="7"/>
      <c r="F72" s="7"/>
      <c r="G72" s="9"/>
    </row>
    <row r="73" spans="2:7" ht="15" thickBot="1" x14ac:dyDescent="0.35">
      <c r="B73" s="4" t="s">
        <v>175</v>
      </c>
      <c r="C73" s="4"/>
      <c r="D73" s="4"/>
      <c r="E73" s="4"/>
      <c r="F73" s="4"/>
      <c r="G7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B9E9-543D-48FE-A223-7FB5C3BEB83E}">
  <dimension ref="A1:J14"/>
  <sheetViews>
    <sheetView workbookViewId="0">
      <selection activeCell="J11" sqref="J11"/>
    </sheetView>
  </sheetViews>
  <sheetFormatPr defaultRowHeight="14.4" x14ac:dyDescent="0.3"/>
  <sheetData>
    <row r="1" spans="1:10" x14ac:dyDescent="0.3">
      <c r="A1">
        <v>2</v>
      </c>
    </row>
    <row r="2" spans="1:10" x14ac:dyDescent="0.3">
      <c r="A2" s="1" t="s">
        <v>0</v>
      </c>
      <c r="B2" s="1" t="s">
        <v>122</v>
      </c>
      <c r="C2" s="1" t="s">
        <v>123</v>
      </c>
      <c r="D2" s="1" t="s">
        <v>124</v>
      </c>
      <c r="E2" s="1" t="s">
        <v>125</v>
      </c>
      <c r="F2" s="14"/>
      <c r="G2" s="16"/>
    </row>
    <row r="3" spans="1:10" x14ac:dyDescent="0.3">
      <c r="A3" s="1" t="s">
        <v>126</v>
      </c>
      <c r="B3" s="1">
        <v>220</v>
      </c>
      <c r="C3" s="1">
        <v>400</v>
      </c>
      <c r="D3" s="1">
        <v>100</v>
      </c>
      <c r="E3" s="1">
        <v>200</v>
      </c>
      <c r="F3" s="17">
        <v>4</v>
      </c>
      <c r="G3" s="16"/>
    </row>
    <row r="4" spans="1:10" x14ac:dyDescent="0.3">
      <c r="A4" s="1" t="s">
        <v>127</v>
      </c>
      <c r="B4" s="1">
        <v>190</v>
      </c>
      <c r="C4" s="1">
        <v>500</v>
      </c>
      <c r="D4" s="1">
        <v>80</v>
      </c>
      <c r="E4" s="1">
        <v>400</v>
      </c>
      <c r="F4" s="17">
        <v>8</v>
      </c>
      <c r="G4" s="16"/>
    </row>
    <row r="5" spans="1:10" x14ac:dyDescent="0.3">
      <c r="A5" s="1" t="s">
        <v>128</v>
      </c>
      <c r="B5" s="1">
        <v>260</v>
      </c>
      <c r="C5" s="1">
        <v>300</v>
      </c>
      <c r="D5" s="1">
        <v>150</v>
      </c>
      <c r="E5" s="1">
        <v>600</v>
      </c>
      <c r="F5" s="17">
        <v>6</v>
      </c>
      <c r="G5" s="16"/>
    </row>
    <row r="6" spans="1:10" x14ac:dyDescent="0.3">
      <c r="A6" s="1" t="s">
        <v>129</v>
      </c>
      <c r="B6" s="1">
        <v>130</v>
      </c>
      <c r="C6" s="1">
        <v>580</v>
      </c>
      <c r="D6" s="1">
        <v>190</v>
      </c>
      <c r="E6" s="1">
        <v>500</v>
      </c>
      <c r="F6" s="17">
        <v>6</v>
      </c>
      <c r="G6" s="16"/>
    </row>
    <row r="7" spans="1:10" x14ac:dyDescent="0.3">
      <c r="B7" s="1">
        <v>5</v>
      </c>
      <c r="C7" s="1">
        <v>7</v>
      </c>
      <c r="D7" s="1">
        <v>3</v>
      </c>
      <c r="E7" s="1">
        <v>9</v>
      </c>
    </row>
    <row r="9" spans="1:10" x14ac:dyDescent="0.3">
      <c r="A9" s="1" t="s">
        <v>9</v>
      </c>
      <c r="B9" s="1" t="s">
        <v>122</v>
      </c>
      <c r="C9" s="1" t="s">
        <v>123</v>
      </c>
      <c r="D9" s="1" t="s">
        <v>124</v>
      </c>
      <c r="E9" s="1" t="s">
        <v>125</v>
      </c>
      <c r="F9" s="14"/>
      <c r="G9" s="16"/>
    </row>
    <row r="10" spans="1:10" x14ac:dyDescent="0.3">
      <c r="A10" s="1" t="s">
        <v>126</v>
      </c>
      <c r="B10" s="1">
        <v>0</v>
      </c>
      <c r="C10" s="1">
        <v>0</v>
      </c>
      <c r="D10" s="1">
        <v>0</v>
      </c>
      <c r="E10" s="1">
        <v>4</v>
      </c>
      <c r="F10" s="14">
        <f>SUM(B10:E10)</f>
        <v>4</v>
      </c>
      <c r="G10" s="16"/>
    </row>
    <row r="11" spans="1:10" x14ac:dyDescent="0.3">
      <c r="A11" s="1" t="s">
        <v>127</v>
      </c>
      <c r="B11" s="1">
        <v>5</v>
      </c>
      <c r="C11" s="1">
        <v>0</v>
      </c>
      <c r="D11" s="1">
        <v>3</v>
      </c>
      <c r="E11" s="1">
        <v>0</v>
      </c>
      <c r="F11" s="14">
        <f t="shared" ref="F11:F13" si="0">SUM(B11:E11)</f>
        <v>8</v>
      </c>
      <c r="G11" s="16"/>
      <c r="I11" t="s">
        <v>10</v>
      </c>
      <c r="J11" t="s">
        <v>196</v>
      </c>
    </row>
    <row r="12" spans="1:10" x14ac:dyDescent="0.3">
      <c r="A12" s="1" t="s">
        <v>128</v>
      </c>
      <c r="B12" s="1">
        <v>0</v>
      </c>
      <c r="C12" s="1">
        <v>6</v>
      </c>
      <c r="D12" s="1">
        <v>0</v>
      </c>
      <c r="E12" s="1">
        <v>0</v>
      </c>
      <c r="F12" s="14">
        <f t="shared" si="0"/>
        <v>6</v>
      </c>
      <c r="G12" s="16"/>
      <c r="I12">
        <f>SUMPRODUCT(B3:F5,B10:F12)</f>
        <v>3906</v>
      </c>
    </row>
    <row r="13" spans="1:10" x14ac:dyDescent="0.3">
      <c r="A13" s="1" t="s">
        <v>129</v>
      </c>
      <c r="B13" s="1">
        <v>0</v>
      </c>
      <c r="C13" s="1">
        <v>1</v>
      </c>
      <c r="D13" s="1">
        <v>0</v>
      </c>
      <c r="E13" s="1">
        <v>5</v>
      </c>
      <c r="F13" s="14">
        <f t="shared" si="0"/>
        <v>6</v>
      </c>
      <c r="G13" s="16"/>
    </row>
    <row r="14" spans="1:10" x14ac:dyDescent="0.3">
      <c r="B14" s="1">
        <f>SUM(B10:B13)</f>
        <v>5</v>
      </c>
      <c r="C14" s="1">
        <f t="shared" ref="C14:E14" si="1">SUM(C10:C13)</f>
        <v>7</v>
      </c>
      <c r="D14" s="1">
        <f t="shared" si="1"/>
        <v>3</v>
      </c>
      <c r="E14" s="1">
        <f t="shared" si="1"/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6A3-20C2-4778-8FA1-1A45FC781054}">
  <dimension ref="A2:J10"/>
  <sheetViews>
    <sheetView workbookViewId="0">
      <selection activeCell="L26" sqref="L26"/>
    </sheetView>
  </sheetViews>
  <sheetFormatPr defaultRowHeight="14.4" x14ac:dyDescent="0.3"/>
  <sheetData>
    <row r="2" spans="1:10" x14ac:dyDescent="0.3">
      <c r="A2" t="s">
        <v>180</v>
      </c>
    </row>
    <row r="3" spans="1:10" x14ac:dyDescent="0.3">
      <c r="A3" t="s">
        <v>6</v>
      </c>
      <c r="B3">
        <v>140</v>
      </c>
      <c r="E3">
        <v>2</v>
      </c>
      <c r="F3">
        <v>3</v>
      </c>
      <c r="G3">
        <v>4</v>
      </c>
      <c r="H3">
        <v>2</v>
      </c>
      <c r="J3">
        <f>TRANSPOSE(B3:B5)</f>
        <v>140</v>
      </c>
    </row>
    <row r="4" spans="1:10" x14ac:dyDescent="0.3">
      <c r="A4" t="s">
        <v>7</v>
      </c>
      <c r="B4">
        <v>160</v>
      </c>
      <c r="E4">
        <v>8</v>
      </c>
      <c r="F4">
        <v>4</v>
      </c>
      <c r="G4">
        <v>1</v>
      </c>
      <c r="H4">
        <v>4</v>
      </c>
      <c r="J4">
        <f t="shared" ref="J4:J5" si="0">TRANSPOSE(B4:B6)</f>
        <v>160</v>
      </c>
    </row>
    <row r="5" spans="1:10" x14ac:dyDescent="0.3">
      <c r="A5" t="s">
        <v>8</v>
      </c>
      <c r="B5">
        <v>120</v>
      </c>
      <c r="E5">
        <v>9</v>
      </c>
      <c r="F5">
        <v>7</v>
      </c>
      <c r="G5">
        <v>3</v>
      </c>
      <c r="H5">
        <v>6</v>
      </c>
      <c r="J5">
        <f t="shared" si="0"/>
        <v>120</v>
      </c>
    </row>
    <row r="6" spans="1:10" x14ac:dyDescent="0.3">
      <c r="A6" t="s">
        <v>181</v>
      </c>
    </row>
    <row r="7" spans="1:10" x14ac:dyDescent="0.3">
      <c r="A7" t="s">
        <v>1</v>
      </c>
      <c r="B7">
        <v>150</v>
      </c>
      <c r="E7">
        <f t="array" ref="E7:H7">TRANSPOSE(B7:B10)</f>
        <v>150</v>
      </c>
      <c r="F7">
        <v>90</v>
      </c>
      <c r="G7">
        <v>100</v>
      </c>
      <c r="H7">
        <v>80</v>
      </c>
    </row>
    <row r="8" spans="1:10" x14ac:dyDescent="0.3">
      <c r="A8" t="s">
        <v>2</v>
      </c>
      <c r="B8">
        <v>90</v>
      </c>
    </row>
    <row r="9" spans="1:10" x14ac:dyDescent="0.3">
      <c r="A9" t="s">
        <v>3</v>
      </c>
      <c r="B9">
        <v>100</v>
      </c>
    </row>
    <row r="10" spans="1:10" x14ac:dyDescent="0.3">
      <c r="A10" t="s">
        <v>4</v>
      </c>
      <c r="B10">
        <v>80</v>
      </c>
    </row>
  </sheetData>
  <pageMargins left="0.7" right="0.7" top="0.75" bottom="0.75" header="0.3" footer="0.3"/>
  <ignoredErrors>
    <ignoredError sqref="J4:J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C580-D42B-4EA3-AB96-5E963378901E}">
  <dimension ref="A1:G64"/>
  <sheetViews>
    <sheetView showGridLines="0" topLeftCell="A14" workbookViewId="0"/>
  </sheetViews>
  <sheetFormatPr defaultRowHeight="14.4" outlineLevelRow="1" x14ac:dyDescent="0.3"/>
  <cols>
    <col min="1" max="1" width="2.33203125" customWidth="1"/>
    <col min="2" max="2" width="25.77734375" bestFit="1" customWidth="1"/>
    <col min="3" max="3" width="10.8867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3" t="s">
        <v>20</v>
      </c>
    </row>
    <row r="2" spans="1:5" x14ac:dyDescent="0.3">
      <c r="A2" s="3" t="s">
        <v>182</v>
      </c>
    </row>
    <row r="3" spans="1:5" x14ac:dyDescent="0.3">
      <c r="A3" s="3" t="s">
        <v>183</v>
      </c>
    </row>
    <row r="4" spans="1:5" x14ac:dyDescent="0.3">
      <c r="A4" s="3" t="s">
        <v>23</v>
      </c>
    </row>
    <row r="5" spans="1:5" x14ac:dyDescent="0.3">
      <c r="A5" s="3" t="s">
        <v>24</v>
      </c>
    </row>
    <row r="6" spans="1:5" hidden="1" outlineLevel="1" x14ac:dyDescent="0.3">
      <c r="A6" s="3"/>
      <c r="B6" t="s">
        <v>25</v>
      </c>
    </row>
    <row r="7" spans="1:5" hidden="1" outlineLevel="1" x14ac:dyDescent="0.3">
      <c r="A7" s="3"/>
      <c r="B7" t="s">
        <v>184</v>
      </c>
    </row>
    <row r="8" spans="1:5" hidden="1" outlineLevel="1" x14ac:dyDescent="0.3">
      <c r="A8" s="3"/>
      <c r="B8" t="s">
        <v>185</v>
      </c>
    </row>
    <row r="9" spans="1:5" collapsed="1" x14ac:dyDescent="0.3">
      <c r="A9" s="3" t="s">
        <v>28</v>
      </c>
    </row>
    <row r="10" spans="1:5" hidden="1" outlineLevel="1" x14ac:dyDescent="0.3">
      <c r="B10" t="s">
        <v>29</v>
      </c>
    </row>
    <row r="11" spans="1:5" hidden="1" outlineLevel="1" x14ac:dyDescent="0.3">
      <c r="B11" t="s">
        <v>30</v>
      </c>
    </row>
    <row r="12" spans="1:5" collapsed="1" x14ac:dyDescent="0.3"/>
    <row r="14" spans="1:5" ht="15" thickBot="1" x14ac:dyDescent="0.35">
      <c r="A14" t="s">
        <v>31</v>
      </c>
    </row>
    <row r="15" spans="1:5" ht="15" thickBot="1" x14ac:dyDescent="0.35">
      <c r="B15" s="5" t="s">
        <v>32</v>
      </c>
      <c r="C15" s="5" t="s">
        <v>33</v>
      </c>
      <c r="D15" s="5" t="s">
        <v>34</v>
      </c>
      <c r="E15" s="5" t="s">
        <v>35</v>
      </c>
    </row>
    <row r="16" spans="1:5" ht="15" thickBot="1" x14ac:dyDescent="0.35">
      <c r="B16" s="4" t="s">
        <v>186</v>
      </c>
      <c r="C16" s="4" t="s">
        <v>187</v>
      </c>
      <c r="D16" s="8">
        <v>1370</v>
      </c>
      <c r="E16" s="8">
        <v>1370</v>
      </c>
    </row>
    <row r="19" spans="1:6" ht="15" thickBot="1" x14ac:dyDescent="0.35">
      <c r="A19" t="s">
        <v>36</v>
      </c>
    </row>
    <row r="20" spans="1:6" ht="15" thickBot="1" x14ac:dyDescent="0.35">
      <c r="B20" s="5" t="s">
        <v>32</v>
      </c>
      <c r="C20" s="5" t="s">
        <v>33</v>
      </c>
      <c r="D20" s="5" t="s">
        <v>34</v>
      </c>
      <c r="E20" s="5" t="s">
        <v>35</v>
      </c>
      <c r="F20" s="5" t="s">
        <v>37</v>
      </c>
    </row>
    <row r="21" spans="1:6" x14ac:dyDescent="0.3">
      <c r="B21" s="12" t="s">
        <v>192</v>
      </c>
      <c r="C21" s="11"/>
      <c r="D21" s="11"/>
      <c r="E21" s="11"/>
      <c r="F21" s="11"/>
    </row>
    <row r="22" spans="1:6" hidden="1" outlineLevel="1" x14ac:dyDescent="0.3">
      <c r="B22" s="7" t="s">
        <v>44</v>
      </c>
      <c r="C22" s="7" t="s">
        <v>45</v>
      </c>
      <c r="D22" s="9">
        <v>140</v>
      </c>
      <c r="E22" s="9">
        <v>140</v>
      </c>
      <c r="F22" s="7" t="s">
        <v>37</v>
      </c>
    </row>
    <row r="23" spans="1:6" hidden="1" outlineLevel="1" x14ac:dyDescent="0.3">
      <c r="B23" s="7" t="s">
        <v>46</v>
      </c>
      <c r="C23" s="7" t="s">
        <v>47</v>
      </c>
      <c r="D23" s="9">
        <v>0</v>
      </c>
      <c r="E23" s="9">
        <v>0</v>
      </c>
      <c r="F23" s="7" t="s">
        <v>37</v>
      </c>
    </row>
    <row r="24" spans="1:6" hidden="1" outlineLevel="1" x14ac:dyDescent="0.3">
      <c r="B24" s="7" t="s">
        <v>48</v>
      </c>
      <c r="C24" s="7" t="s">
        <v>49</v>
      </c>
      <c r="D24" s="9">
        <v>0</v>
      </c>
      <c r="E24" s="9">
        <v>0</v>
      </c>
      <c r="F24" s="7" t="s">
        <v>37</v>
      </c>
    </row>
    <row r="25" spans="1:6" hidden="1" outlineLevel="1" x14ac:dyDescent="0.3">
      <c r="B25" s="7" t="s">
        <v>50</v>
      </c>
      <c r="C25" s="7" t="s">
        <v>51</v>
      </c>
      <c r="D25" s="9">
        <v>0</v>
      </c>
      <c r="E25" s="9">
        <v>0</v>
      </c>
      <c r="F25" s="7" t="s">
        <v>37</v>
      </c>
    </row>
    <row r="26" spans="1:6" hidden="1" outlineLevel="1" x14ac:dyDescent="0.3">
      <c r="B26" s="7" t="s">
        <v>54</v>
      </c>
      <c r="C26" s="7" t="s">
        <v>55</v>
      </c>
      <c r="D26" s="9">
        <v>0</v>
      </c>
      <c r="E26" s="9">
        <v>0</v>
      </c>
      <c r="F26" s="7" t="s">
        <v>37</v>
      </c>
    </row>
    <row r="27" spans="1:6" hidden="1" outlineLevel="1" x14ac:dyDescent="0.3">
      <c r="B27" s="7" t="s">
        <v>56</v>
      </c>
      <c r="C27" s="7" t="s">
        <v>57</v>
      </c>
      <c r="D27" s="9">
        <v>90</v>
      </c>
      <c r="E27" s="9">
        <v>90</v>
      </c>
      <c r="F27" s="7" t="s">
        <v>37</v>
      </c>
    </row>
    <row r="28" spans="1:6" hidden="1" outlineLevel="1" x14ac:dyDescent="0.3">
      <c r="B28" s="7" t="s">
        <v>58</v>
      </c>
      <c r="C28" s="7" t="s">
        <v>59</v>
      </c>
      <c r="D28" s="9">
        <v>0</v>
      </c>
      <c r="E28" s="9">
        <v>0</v>
      </c>
      <c r="F28" s="7" t="s">
        <v>37</v>
      </c>
    </row>
    <row r="29" spans="1:6" hidden="1" outlineLevel="1" x14ac:dyDescent="0.3">
      <c r="B29" s="7" t="s">
        <v>60</v>
      </c>
      <c r="C29" s="7" t="s">
        <v>61</v>
      </c>
      <c r="D29" s="9">
        <v>70</v>
      </c>
      <c r="E29" s="9">
        <v>70</v>
      </c>
      <c r="F29" s="7" t="s">
        <v>37</v>
      </c>
    </row>
    <row r="30" spans="1:6" hidden="1" outlineLevel="1" x14ac:dyDescent="0.3">
      <c r="B30" s="7" t="s">
        <v>64</v>
      </c>
      <c r="C30" s="7" t="s">
        <v>65</v>
      </c>
      <c r="D30" s="9">
        <v>10</v>
      </c>
      <c r="E30" s="9">
        <v>10</v>
      </c>
      <c r="F30" s="7" t="s">
        <v>37</v>
      </c>
    </row>
    <row r="31" spans="1:6" hidden="1" outlineLevel="1" x14ac:dyDescent="0.3">
      <c r="B31" s="7" t="s">
        <v>66</v>
      </c>
      <c r="C31" s="7" t="s">
        <v>67</v>
      </c>
      <c r="D31" s="9">
        <v>0</v>
      </c>
      <c r="E31" s="9">
        <v>0</v>
      </c>
      <c r="F31" s="7" t="s">
        <v>37</v>
      </c>
    </row>
    <row r="32" spans="1:6" hidden="1" outlineLevel="1" x14ac:dyDescent="0.3">
      <c r="B32" s="7" t="s">
        <v>68</v>
      </c>
      <c r="C32" s="7" t="s">
        <v>69</v>
      </c>
      <c r="D32" s="9">
        <v>100</v>
      </c>
      <c r="E32" s="9">
        <v>100</v>
      </c>
      <c r="F32" s="7" t="s">
        <v>37</v>
      </c>
    </row>
    <row r="33" spans="1:7" ht="15" hidden="1" outlineLevel="1" thickBot="1" x14ac:dyDescent="0.35">
      <c r="B33" s="4" t="s">
        <v>70</v>
      </c>
      <c r="C33" s="4" t="s">
        <v>71</v>
      </c>
      <c r="D33" s="8">
        <v>10</v>
      </c>
      <c r="E33" s="8">
        <v>10</v>
      </c>
      <c r="F33" s="4" t="s">
        <v>37</v>
      </c>
    </row>
    <row r="34" spans="1:7" collapsed="1" x14ac:dyDescent="0.3">
      <c r="B34" s="6"/>
      <c r="C34" s="6"/>
      <c r="D34" s="10"/>
      <c r="E34" s="10"/>
      <c r="F34" s="6"/>
    </row>
    <row r="37" spans="1:7" ht="15" thickBot="1" x14ac:dyDescent="0.35">
      <c r="A37" t="s">
        <v>38</v>
      </c>
    </row>
    <row r="38" spans="1:7" ht="15" thickBot="1" x14ac:dyDescent="0.35">
      <c r="B38" s="5" t="s">
        <v>32</v>
      </c>
      <c r="C38" s="5" t="s">
        <v>33</v>
      </c>
      <c r="D38" s="5" t="s">
        <v>39</v>
      </c>
      <c r="E38" s="5" t="s">
        <v>40</v>
      </c>
      <c r="F38" s="5" t="s">
        <v>41</v>
      </c>
      <c r="G38" s="5" t="s">
        <v>42</v>
      </c>
    </row>
    <row r="39" spans="1:7" x14ac:dyDescent="0.3">
      <c r="B39" s="12" t="s">
        <v>193</v>
      </c>
      <c r="C39" s="11"/>
      <c r="D39" s="11"/>
      <c r="E39" s="11"/>
      <c r="F39" s="11"/>
      <c r="G39" s="11"/>
    </row>
    <row r="40" spans="1:7" hidden="1" outlineLevel="1" x14ac:dyDescent="0.3">
      <c r="B40" s="7" t="s">
        <v>74</v>
      </c>
      <c r="C40" s="7" t="s">
        <v>1</v>
      </c>
      <c r="D40" s="9">
        <v>150</v>
      </c>
      <c r="E40" s="7" t="s">
        <v>75</v>
      </c>
      <c r="F40" s="7" t="s">
        <v>76</v>
      </c>
      <c r="G40" s="7">
        <v>0</v>
      </c>
    </row>
    <row r="41" spans="1:7" hidden="1" outlineLevel="1" x14ac:dyDescent="0.3">
      <c r="B41" s="7" t="s">
        <v>77</v>
      </c>
      <c r="C41" s="7" t="s">
        <v>2</v>
      </c>
      <c r="D41" s="9">
        <v>90</v>
      </c>
      <c r="E41" s="7" t="s">
        <v>78</v>
      </c>
      <c r="F41" s="7" t="s">
        <v>76</v>
      </c>
      <c r="G41" s="7">
        <v>0</v>
      </c>
    </row>
    <row r="42" spans="1:7" hidden="1" outlineLevel="1" x14ac:dyDescent="0.3">
      <c r="B42" s="7" t="s">
        <v>79</v>
      </c>
      <c r="C42" s="7" t="s">
        <v>3</v>
      </c>
      <c r="D42" s="9">
        <v>100</v>
      </c>
      <c r="E42" s="7" t="s">
        <v>80</v>
      </c>
      <c r="F42" s="7" t="s">
        <v>76</v>
      </c>
      <c r="G42" s="7">
        <v>0</v>
      </c>
    </row>
    <row r="43" spans="1:7" hidden="1" outlineLevel="1" x14ac:dyDescent="0.3">
      <c r="B43" s="7" t="s">
        <v>81</v>
      </c>
      <c r="C43" s="7" t="s">
        <v>4</v>
      </c>
      <c r="D43" s="9">
        <v>80</v>
      </c>
      <c r="E43" s="7" t="s">
        <v>82</v>
      </c>
      <c r="F43" s="7" t="s">
        <v>76</v>
      </c>
      <c r="G43" s="7">
        <v>0</v>
      </c>
    </row>
    <row r="44" spans="1:7" collapsed="1" x14ac:dyDescent="0.3">
      <c r="B44" s="7"/>
      <c r="C44" s="7"/>
      <c r="D44" s="9"/>
      <c r="E44" s="7"/>
      <c r="F44" s="7"/>
      <c r="G44" s="7"/>
    </row>
    <row r="45" spans="1:7" x14ac:dyDescent="0.3">
      <c r="B45" s="13" t="s">
        <v>194</v>
      </c>
      <c r="C45" s="7"/>
      <c r="D45" s="9"/>
      <c r="E45" s="7"/>
      <c r="F45" s="7"/>
      <c r="G45" s="7"/>
    </row>
    <row r="46" spans="1:7" hidden="1" outlineLevel="1" x14ac:dyDescent="0.3">
      <c r="B46" s="7" t="s">
        <v>52</v>
      </c>
      <c r="C46" s="7" t="s">
        <v>6</v>
      </c>
      <c r="D46" s="9">
        <v>140</v>
      </c>
      <c r="E46" s="7" t="s">
        <v>188</v>
      </c>
      <c r="F46" s="7" t="s">
        <v>76</v>
      </c>
      <c r="G46" s="7">
        <v>0</v>
      </c>
    </row>
    <row r="47" spans="1:7" hidden="1" outlineLevel="1" x14ac:dyDescent="0.3">
      <c r="B47" s="7" t="s">
        <v>62</v>
      </c>
      <c r="C47" s="7" t="s">
        <v>7</v>
      </c>
      <c r="D47" s="9">
        <v>160</v>
      </c>
      <c r="E47" s="7" t="s">
        <v>189</v>
      </c>
      <c r="F47" s="7" t="s">
        <v>76</v>
      </c>
      <c r="G47" s="7">
        <v>0</v>
      </c>
    </row>
    <row r="48" spans="1:7" hidden="1" outlineLevel="1" x14ac:dyDescent="0.3">
      <c r="B48" s="7" t="s">
        <v>72</v>
      </c>
      <c r="C48" s="7" t="s">
        <v>8</v>
      </c>
      <c r="D48" s="9">
        <v>120</v>
      </c>
      <c r="E48" s="7" t="s">
        <v>190</v>
      </c>
      <c r="F48" s="7" t="s">
        <v>76</v>
      </c>
      <c r="G48" s="7">
        <v>0</v>
      </c>
    </row>
    <row r="49" spans="2:7" collapsed="1" x14ac:dyDescent="0.3">
      <c r="B49" s="7"/>
      <c r="C49" s="7"/>
      <c r="D49" s="9"/>
      <c r="E49" s="7"/>
      <c r="F49" s="7"/>
      <c r="G49" s="7"/>
    </row>
    <row r="50" spans="2:7" x14ac:dyDescent="0.3">
      <c r="B50" s="13" t="s">
        <v>195</v>
      </c>
      <c r="C50" s="7"/>
      <c r="D50" s="9"/>
      <c r="E50" s="7"/>
      <c r="F50" s="7"/>
      <c r="G50" s="7"/>
    </row>
    <row r="51" spans="2:7" hidden="1" outlineLevel="1" x14ac:dyDescent="0.3">
      <c r="B51" s="7" t="s">
        <v>44</v>
      </c>
      <c r="C51" s="7" t="s">
        <v>45</v>
      </c>
      <c r="D51" s="9">
        <v>140</v>
      </c>
      <c r="E51" s="7" t="s">
        <v>91</v>
      </c>
      <c r="F51" s="7" t="s">
        <v>94</v>
      </c>
      <c r="G51" s="9">
        <v>140</v>
      </c>
    </row>
    <row r="52" spans="2:7" hidden="1" outlineLevel="1" x14ac:dyDescent="0.3">
      <c r="B52" s="7" t="s">
        <v>46</v>
      </c>
      <c r="C52" s="7" t="s">
        <v>47</v>
      </c>
      <c r="D52" s="9">
        <v>0</v>
      </c>
      <c r="E52" s="7" t="s">
        <v>92</v>
      </c>
      <c r="F52" s="7" t="s">
        <v>76</v>
      </c>
      <c r="G52" s="9">
        <v>0</v>
      </c>
    </row>
    <row r="53" spans="2:7" hidden="1" outlineLevel="1" x14ac:dyDescent="0.3">
      <c r="B53" s="7" t="s">
        <v>48</v>
      </c>
      <c r="C53" s="7" t="s">
        <v>49</v>
      </c>
      <c r="D53" s="9">
        <v>0</v>
      </c>
      <c r="E53" s="7" t="s">
        <v>93</v>
      </c>
      <c r="F53" s="7" t="s">
        <v>76</v>
      </c>
      <c r="G53" s="9">
        <v>0</v>
      </c>
    </row>
    <row r="54" spans="2:7" hidden="1" outlineLevel="1" x14ac:dyDescent="0.3">
      <c r="B54" s="7" t="s">
        <v>50</v>
      </c>
      <c r="C54" s="7" t="s">
        <v>51</v>
      </c>
      <c r="D54" s="9">
        <v>0</v>
      </c>
      <c r="E54" s="7" t="s">
        <v>95</v>
      </c>
      <c r="F54" s="7" t="s">
        <v>76</v>
      </c>
      <c r="G54" s="9">
        <v>0</v>
      </c>
    </row>
    <row r="55" spans="2:7" hidden="1" outlineLevel="1" x14ac:dyDescent="0.3">
      <c r="B55" s="7" t="s">
        <v>54</v>
      </c>
      <c r="C55" s="7" t="s">
        <v>55</v>
      </c>
      <c r="D55" s="9">
        <v>0</v>
      </c>
      <c r="E55" s="7" t="s">
        <v>97</v>
      </c>
      <c r="F55" s="7" t="s">
        <v>76</v>
      </c>
      <c r="G55" s="9">
        <v>0</v>
      </c>
    </row>
    <row r="56" spans="2:7" hidden="1" outlineLevel="1" x14ac:dyDescent="0.3">
      <c r="B56" s="7" t="s">
        <v>56</v>
      </c>
      <c r="C56" s="7" t="s">
        <v>57</v>
      </c>
      <c r="D56" s="9">
        <v>90</v>
      </c>
      <c r="E56" s="7" t="s">
        <v>98</v>
      </c>
      <c r="F56" s="7" t="s">
        <v>94</v>
      </c>
      <c r="G56" s="9">
        <v>90</v>
      </c>
    </row>
    <row r="57" spans="2:7" hidden="1" outlineLevel="1" x14ac:dyDescent="0.3">
      <c r="B57" s="7" t="s">
        <v>58</v>
      </c>
      <c r="C57" s="7" t="s">
        <v>59</v>
      </c>
      <c r="D57" s="9">
        <v>0</v>
      </c>
      <c r="E57" s="7" t="s">
        <v>99</v>
      </c>
      <c r="F57" s="7" t="s">
        <v>76</v>
      </c>
      <c r="G57" s="9">
        <v>0</v>
      </c>
    </row>
    <row r="58" spans="2:7" hidden="1" outlineLevel="1" x14ac:dyDescent="0.3">
      <c r="B58" s="7" t="s">
        <v>60</v>
      </c>
      <c r="C58" s="7" t="s">
        <v>61</v>
      </c>
      <c r="D58" s="9">
        <v>70</v>
      </c>
      <c r="E58" s="7" t="s">
        <v>100</v>
      </c>
      <c r="F58" s="7" t="s">
        <v>94</v>
      </c>
      <c r="G58" s="9">
        <v>70</v>
      </c>
    </row>
    <row r="59" spans="2:7" hidden="1" outlineLevel="1" x14ac:dyDescent="0.3">
      <c r="B59" s="7" t="s">
        <v>64</v>
      </c>
      <c r="C59" s="7" t="s">
        <v>65</v>
      </c>
      <c r="D59" s="9">
        <v>10</v>
      </c>
      <c r="E59" s="7" t="s">
        <v>102</v>
      </c>
      <c r="F59" s="7" t="s">
        <v>94</v>
      </c>
      <c r="G59" s="9">
        <v>10</v>
      </c>
    </row>
    <row r="60" spans="2:7" hidden="1" outlineLevel="1" x14ac:dyDescent="0.3">
      <c r="B60" s="7" t="s">
        <v>66</v>
      </c>
      <c r="C60" s="7" t="s">
        <v>67</v>
      </c>
      <c r="D60" s="9">
        <v>0</v>
      </c>
      <c r="E60" s="7" t="s">
        <v>103</v>
      </c>
      <c r="F60" s="7" t="s">
        <v>76</v>
      </c>
      <c r="G60" s="9">
        <v>0</v>
      </c>
    </row>
    <row r="61" spans="2:7" hidden="1" outlineLevel="1" x14ac:dyDescent="0.3">
      <c r="B61" s="7" t="s">
        <v>68</v>
      </c>
      <c r="C61" s="7" t="s">
        <v>69</v>
      </c>
      <c r="D61" s="9">
        <v>100</v>
      </c>
      <c r="E61" s="7" t="s">
        <v>104</v>
      </c>
      <c r="F61" s="7" t="s">
        <v>94</v>
      </c>
      <c r="G61" s="9">
        <v>100</v>
      </c>
    </row>
    <row r="62" spans="2:7" hidden="1" outlineLevel="1" x14ac:dyDescent="0.3">
      <c r="B62" s="7" t="s">
        <v>70</v>
      </c>
      <c r="C62" s="7" t="s">
        <v>71</v>
      </c>
      <c r="D62" s="9">
        <v>10</v>
      </c>
      <c r="E62" s="7" t="s">
        <v>105</v>
      </c>
      <c r="F62" s="7" t="s">
        <v>94</v>
      </c>
      <c r="G62" s="9">
        <v>10</v>
      </c>
    </row>
    <row r="63" spans="2:7" collapsed="1" x14ac:dyDescent="0.3">
      <c r="B63" s="7"/>
      <c r="C63" s="7"/>
      <c r="D63" s="9"/>
      <c r="E63" s="7"/>
      <c r="F63" s="7"/>
      <c r="G63" s="9"/>
    </row>
    <row r="64" spans="2:7" ht="15" thickBot="1" x14ac:dyDescent="0.35">
      <c r="B64" s="4" t="s">
        <v>191</v>
      </c>
      <c r="C64" s="4"/>
      <c r="D64" s="4"/>
      <c r="E64" s="4"/>
      <c r="F64" s="4"/>
      <c r="G64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CFB3-6AFE-42B3-BFC7-6B37AD73CBDD}">
  <dimension ref="A1:J12"/>
  <sheetViews>
    <sheetView tabSelected="1" workbookViewId="0">
      <selection activeCell="J10" sqref="J10"/>
    </sheetView>
  </sheetViews>
  <sheetFormatPr defaultRowHeight="14.4" x14ac:dyDescent="0.3"/>
  <sheetData>
    <row r="1" spans="1:10" x14ac:dyDescent="0.3">
      <c r="A1">
        <v>3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0"/>
    </row>
    <row r="3" spans="1:10" x14ac:dyDescent="0.3">
      <c r="A3" s="1" t="s">
        <v>6</v>
      </c>
      <c r="B3" s="1">
        <v>2</v>
      </c>
      <c r="C3" s="1">
        <v>3</v>
      </c>
      <c r="D3" s="1">
        <v>4</v>
      </c>
      <c r="E3" s="1">
        <v>2</v>
      </c>
      <c r="F3" s="1">
        <v>140</v>
      </c>
    </row>
    <row r="4" spans="1:10" x14ac:dyDescent="0.3">
      <c r="A4" s="1" t="s">
        <v>7</v>
      </c>
      <c r="B4" s="1">
        <v>8</v>
      </c>
      <c r="C4" s="1">
        <v>4</v>
      </c>
      <c r="D4" s="1">
        <v>1</v>
      </c>
      <c r="E4" s="1">
        <v>4</v>
      </c>
      <c r="F4" s="1">
        <v>160</v>
      </c>
    </row>
    <row r="5" spans="1:10" x14ac:dyDescent="0.3">
      <c r="A5" s="1" t="s">
        <v>8</v>
      </c>
      <c r="B5" s="1">
        <v>9</v>
      </c>
      <c r="C5" s="1">
        <v>7</v>
      </c>
      <c r="D5" s="1">
        <v>3</v>
      </c>
      <c r="E5" s="1">
        <v>6</v>
      </c>
      <c r="F5" s="1">
        <v>120</v>
      </c>
    </row>
    <row r="6" spans="1:10" x14ac:dyDescent="0.3">
      <c r="A6" s="1"/>
      <c r="B6" s="18">
        <v>150</v>
      </c>
      <c r="C6" s="18">
        <v>90</v>
      </c>
      <c r="D6" s="18">
        <v>100</v>
      </c>
      <c r="E6" s="18">
        <v>80</v>
      </c>
      <c r="F6" s="17"/>
    </row>
    <row r="7" spans="1:10" x14ac:dyDescent="0.3">
      <c r="B7" s="19"/>
      <c r="C7" s="19"/>
      <c r="D7" s="19"/>
      <c r="E7" s="19"/>
    </row>
    <row r="8" spans="1:10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20"/>
    </row>
    <row r="9" spans="1:10" x14ac:dyDescent="0.3">
      <c r="A9" s="1" t="s">
        <v>6</v>
      </c>
      <c r="B9" s="1">
        <v>140</v>
      </c>
      <c r="C9" s="1">
        <v>0</v>
      </c>
      <c r="D9" s="1">
        <v>0</v>
      </c>
      <c r="E9" s="1">
        <v>0</v>
      </c>
      <c r="F9" s="1">
        <f>SUM(B9:E9)</f>
        <v>140</v>
      </c>
    </row>
    <row r="10" spans="1:10" x14ac:dyDescent="0.3">
      <c r="A10" s="1" t="s">
        <v>7</v>
      </c>
      <c r="B10" s="1">
        <v>0</v>
      </c>
      <c r="C10" s="1">
        <v>90</v>
      </c>
      <c r="D10" s="1">
        <v>0</v>
      </c>
      <c r="E10" s="1">
        <v>70</v>
      </c>
      <c r="F10" s="1">
        <f t="shared" ref="F10:F11" si="0">SUM(B10:E10)</f>
        <v>160</v>
      </c>
      <c r="I10" t="s">
        <v>10</v>
      </c>
      <c r="J10" t="s">
        <v>196</v>
      </c>
    </row>
    <row r="11" spans="1:10" x14ac:dyDescent="0.3">
      <c r="A11" s="1" t="s">
        <v>8</v>
      </c>
      <c r="B11" s="1">
        <v>10</v>
      </c>
      <c r="C11" s="1">
        <v>0</v>
      </c>
      <c r="D11" s="1">
        <v>100</v>
      </c>
      <c r="E11" s="1">
        <v>10</v>
      </c>
      <c r="F11" s="1">
        <f t="shared" si="0"/>
        <v>120</v>
      </c>
      <c r="I11">
        <f>SUMPRODUCT(B3:E5,B9:E11)</f>
        <v>1370</v>
      </c>
    </row>
    <row r="12" spans="1:10" x14ac:dyDescent="0.3">
      <c r="A12" s="1"/>
      <c r="B12" s="18">
        <f>SUM(B9:B11)</f>
        <v>150</v>
      </c>
      <c r="C12" s="18">
        <f t="shared" ref="C12:E12" si="1">SUM(C9:C11)</f>
        <v>90</v>
      </c>
      <c r="D12" s="18">
        <f t="shared" si="1"/>
        <v>100</v>
      </c>
      <c r="E12" s="18">
        <f t="shared" si="1"/>
        <v>80</v>
      </c>
      <c r="F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Лист2</vt:lpstr>
      <vt:lpstr>Отчет о результатах 1</vt:lpstr>
      <vt:lpstr>Лист1</vt:lpstr>
      <vt:lpstr>Лист4</vt:lpstr>
      <vt:lpstr>Отчет о результатах 2</vt:lpstr>
      <vt:lpstr>Лист5</vt:lpstr>
      <vt:lpstr>Лист7</vt:lpstr>
      <vt:lpstr>Отчет о результатах 3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Жантай Сартбаев</dc:creator>
  <cp:lastModifiedBy>Жантай Сартбаев</cp:lastModifiedBy>
  <dcterms:created xsi:type="dcterms:W3CDTF">2015-06-05T18:19:34Z</dcterms:created>
  <dcterms:modified xsi:type="dcterms:W3CDTF">2026-03-03T00:49:25Z</dcterms:modified>
</cp:coreProperties>
</file>