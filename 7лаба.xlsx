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d0360a4e9aa2e6a7/Документы/1_МатМет/"/>
    </mc:Choice>
  </mc:AlternateContent>
  <xr:revisionPtr revIDLastSave="4" documentId="8_{0E45815F-4753-4EA2-94EB-E6DF9DCD4C8A}" xr6:coauthVersionLast="45" xr6:coauthVersionMax="45" xr10:uidLastSave="{72C3A404-031C-4E7F-A4D6-9311F5C88CBD}"/>
  <bookViews>
    <workbookView xWindow="-108" yWindow="-108" windowWidth="23256" windowHeight="12456" activeTab="3" xr2:uid="{00000000-000D-0000-FFFF-FFFF00000000}"/>
  </bookViews>
  <sheets>
    <sheet name="Отчет о результатах 1" sheetId="2" r:id="rId1"/>
    <sheet name="Лист1" sheetId="1" r:id="rId2"/>
    <sheet name="Отчет о результатах 3" sheetId="5" r:id="rId3"/>
    <sheet name="Лист3" sheetId="3" r:id="rId4"/>
    <sheet name="Лист8" sheetId="8" r:id="rId5"/>
    <sheet name="Отчет о результатах 4" sheetId="12" r:id="rId6"/>
    <sheet name="Лист4" sheetId="11" r:id="rId7"/>
  </sheets>
  <definedNames>
    <definedName name="solver_adj" localSheetId="1" hidden="1">Лист1!$B$21:$E$23</definedName>
    <definedName name="solver_adj" localSheetId="3" hidden="1">Лист3!$B$21:$E$23</definedName>
    <definedName name="solver_adj" localSheetId="6" hidden="1">Лист4!$B$23:$D$25</definedName>
    <definedName name="solver_adj" localSheetId="4" hidden="1">Лист8!$B$23:$G$25</definedName>
    <definedName name="solver_cvg" localSheetId="1" hidden="1">0.0001</definedName>
    <definedName name="solver_cvg" localSheetId="3" hidden="1">0.0001</definedName>
    <definedName name="solver_cvg" localSheetId="6" hidden="1">0.0001</definedName>
    <definedName name="solver_cvg" localSheetId="4" hidden="1">0.0001</definedName>
    <definedName name="solver_drv" localSheetId="1" hidden="1">1</definedName>
    <definedName name="solver_drv" localSheetId="3" hidden="1">1</definedName>
    <definedName name="solver_drv" localSheetId="6" hidden="1">1</definedName>
    <definedName name="solver_drv" localSheetId="4" hidden="1">1</definedName>
    <definedName name="solver_eng" localSheetId="1" hidden="1">2</definedName>
    <definedName name="solver_eng" localSheetId="3" hidden="1">2</definedName>
    <definedName name="solver_eng" localSheetId="6" hidden="1">2</definedName>
    <definedName name="solver_eng" localSheetId="4" hidden="1">2</definedName>
    <definedName name="solver_est" localSheetId="1" hidden="1">1</definedName>
    <definedName name="solver_est" localSheetId="3" hidden="1">1</definedName>
    <definedName name="solver_est" localSheetId="6" hidden="1">1</definedName>
    <definedName name="solver_est" localSheetId="4" hidden="1">1</definedName>
    <definedName name="solver_itr" localSheetId="1" hidden="1">2147483647</definedName>
    <definedName name="solver_itr" localSheetId="3" hidden="1">2147483647</definedName>
    <definedName name="solver_itr" localSheetId="6" hidden="1">2147483647</definedName>
    <definedName name="solver_itr" localSheetId="4" hidden="1">2147483647</definedName>
    <definedName name="solver_lhs1" localSheetId="1" hidden="1">Лист1!$B$21:$E$23</definedName>
    <definedName name="solver_lhs1" localSheetId="3" hidden="1">Лист3!$B$21:$E$23</definedName>
    <definedName name="solver_lhs1" localSheetId="6" hidden="1">Лист4!$B$23:$D$25</definedName>
    <definedName name="solver_lhs1" localSheetId="4" hidden="1">Лист8!$B$23:$G$25</definedName>
    <definedName name="solver_lhs2" localSheetId="1" hidden="1">Лист1!$B$21:$E$23</definedName>
    <definedName name="solver_lhs2" localSheetId="3" hidden="1">Лист3!$B$21:$E$23</definedName>
    <definedName name="solver_lhs2" localSheetId="6" hidden="1">Лист4!$B$23:$D$25</definedName>
    <definedName name="solver_lhs2" localSheetId="4" hidden="1">Лист8!$B$23:$G$25</definedName>
    <definedName name="solver_lhs3" localSheetId="1" hidden="1">Лист1!$B$24:$E$24</definedName>
    <definedName name="solver_lhs3" localSheetId="3" hidden="1">Лист3!$B$24:$E$24</definedName>
    <definedName name="solver_lhs3" localSheetId="6" hidden="1">Лист4!$B$26:$D$26</definedName>
    <definedName name="solver_lhs3" localSheetId="4" hidden="1">Лист8!$B$26:$G$26</definedName>
    <definedName name="solver_lhs4" localSheetId="1" hidden="1">Лист1!$F$14:$F$16</definedName>
    <definedName name="solver_lhs4" localSheetId="3" hidden="1">Лист3!$F$14:$F$16</definedName>
    <definedName name="solver_lhs4" localSheetId="6" hidden="1">Лист4!$E$23:$E$25</definedName>
    <definedName name="solver_lhs4" localSheetId="4" hidden="1">Лист8!$H$16:$H$18</definedName>
    <definedName name="solver_mip" localSheetId="1" hidden="1">2147483647</definedName>
    <definedName name="solver_mip" localSheetId="3" hidden="1">2147483647</definedName>
    <definedName name="solver_mip" localSheetId="6" hidden="1">2147483647</definedName>
    <definedName name="solver_mip" localSheetId="4" hidden="1">2147483647</definedName>
    <definedName name="solver_mni" localSheetId="1" hidden="1">30</definedName>
    <definedName name="solver_mni" localSheetId="3" hidden="1">30</definedName>
    <definedName name="solver_mni" localSheetId="6" hidden="1">30</definedName>
    <definedName name="solver_mni" localSheetId="4" hidden="1">30</definedName>
    <definedName name="solver_mrt" localSheetId="1" hidden="1">0.075</definedName>
    <definedName name="solver_mrt" localSheetId="3" hidden="1">0.075</definedName>
    <definedName name="solver_mrt" localSheetId="6" hidden="1">0.075</definedName>
    <definedName name="solver_mrt" localSheetId="4" hidden="1">0.075</definedName>
    <definedName name="solver_msl" localSheetId="1" hidden="1">2</definedName>
    <definedName name="solver_msl" localSheetId="3" hidden="1">2</definedName>
    <definedName name="solver_msl" localSheetId="6" hidden="1">2</definedName>
    <definedName name="solver_msl" localSheetId="4" hidden="1">2</definedName>
    <definedName name="solver_neg" localSheetId="1" hidden="1">1</definedName>
    <definedName name="solver_neg" localSheetId="3" hidden="1">1</definedName>
    <definedName name="solver_neg" localSheetId="6" hidden="1">1</definedName>
    <definedName name="solver_neg" localSheetId="4" hidden="1">1</definedName>
    <definedName name="solver_nod" localSheetId="1" hidden="1">2147483647</definedName>
    <definedName name="solver_nod" localSheetId="3" hidden="1">2147483647</definedName>
    <definedName name="solver_nod" localSheetId="6" hidden="1">2147483647</definedName>
    <definedName name="solver_nod" localSheetId="4" hidden="1">2147483647</definedName>
    <definedName name="solver_num" localSheetId="1" hidden="1">4</definedName>
    <definedName name="solver_num" localSheetId="3" hidden="1">4</definedName>
    <definedName name="solver_num" localSheetId="6" hidden="1">4</definedName>
    <definedName name="solver_num" localSheetId="4" hidden="1">4</definedName>
    <definedName name="solver_nwt" localSheetId="1" hidden="1">1</definedName>
    <definedName name="solver_nwt" localSheetId="3" hidden="1">1</definedName>
    <definedName name="solver_nwt" localSheetId="6" hidden="1">1</definedName>
    <definedName name="solver_nwt" localSheetId="4" hidden="1">1</definedName>
    <definedName name="solver_opt" localSheetId="1" hidden="1">Лист1!$J$13</definedName>
    <definedName name="solver_opt" localSheetId="3" hidden="1">Лист3!$J$13</definedName>
    <definedName name="solver_opt" localSheetId="6" hidden="1">Лист4!$J$15</definedName>
    <definedName name="solver_opt" localSheetId="4" hidden="1">Лист8!$J$15</definedName>
    <definedName name="solver_pre" localSheetId="1" hidden="1">0.000001</definedName>
    <definedName name="solver_pre" localSheetId="3" hidden="1">0.000001</definedName>
    <definedName name="solver_pre" localSheetId="6" hidden="1">0.000001</definedName>
    <definedName name="solver_pre" localSheetId="4" hidden="1">0.000001</definedName>
    <definedName name="solver_rbv" localSheetId="1" hidden="1">1</definedName>
    <definedName name="solver_rbv" localSheetId="3" hidden="1">2</definedName>
    <definedName name="solver_rbv" localSheetId="6" hidden="1">1</definedName>
    <definedName name="solver_rbv" localSheetId="4" hidden="1">1</definedName>
    <definedName name="solver_rel1" localSheetId="1" hidden="1">4</definedName>
    <definedName name="solver_rel1" localSheetId="3" hidden="1">4</definedName>
    <definedName name="solver_rel1" localSheetId="6" hidden="1">4</definedName>
    <definedName name="solver_rel1" localSheetId="4" hidden="1">4</definedName>
    <definedName name="solver_rel2" localSheetId="1" hidden="1">3</definedName>
    <definedName name="solver_rel2" localSheetId="3" hidden="1">3</definedName>
    <definedName name="solver_rel2" localSheetId="6" hidden="1">3</definedName>
    <definedName name="solver_rel2" localSheetId="4" hidden="1">3</definedName>
    <definedName name="solver_rel3" localSheetId="1" hidden="1">2</definedName>
    <definedName name="solver_rel3" localSheetId="3" hidden="1">2</definedName>
    <definedName name="solver_rel3" localSheetId="6" hidden="1">2</definedName>
    <definedName name="solver_rel3" localSheetId="4" hidden="1">2</definedName>
    <definedName name="solver_rel4" localSheetId="1" hidden="1">2</definedName>
    <definedName name="solver_rel4" localSheetId="3" hidden="1">2</definedName>
    <definedName name="solver_rel4" localSheetId="6" hidden="1">1</definedName>
    <definedName name="solver_rel4" localSheetId="4" hidden="1">2</definedName>
    <definedName name="solver_rhs1" localSheetId="1" hidden="1">целое</definedName>
    <definedName name="solver_rhs1" localSheetId="3" hidden="1">целое</definedName>
    <definedName name="solver_rhs1" localSheetId="6" hidden="1">целое</definedName>
    <definedName name="solver_rhs1" localSheetId="4" hidden="1">целое</definedName>
    <definedName name="solver_rhs2" localSheetId="1" hidden="1">0</definedName>
    <definedName name="solver_rhs2" localSheetId="3" hidden="1">0</definedName>
    <definedName name="solver_rhs2" localSheetId="6" hidden="1">0</definedName>
    <definedName name="solver_rhs2" localSheetId="4" hidden="1">0</definedName>
    <definedName name="solver_rhs3" localSheetId="1" hidden="1">Лист1!$B$17:$E$17</definedName>
    <definedName name="solver_rhs3" localSheetId="3" hidden="1">Лист3!$B$17:$E$17</definedName>
    <definedName name="solver_rhs3" localSheetId="6" hidden="1">Лист4!$B$19:$D$19</definedName>
    <definedName name="solver_rhs3" localSheetId="4" hidden="1">Лист8!$B$19:$G$19</definedName>
    <definedName name="solver_rhs4" localSheetId="1" hidden="1">Лист1!$F$21:$F$23</definedName>
    <definedName name="solver_rhs4" localSheetId="3" hidden="1">Лист3!$F$21:$F$23</definedName>
    <definedName name="solver_rhs4" localSheetId="6" hidden="1">Лист4!$E$16:$E$18</definedName>
    <definedName name="solver_rhs4" localSheetId="4" hidden="1">Лист8!$H$23:$H$25</definedName>
    <definedName name="solver_rlx" localSheetId="1" hidden="1">2</definedName>
    <definedName name="solver_rlx" localSheetId="3" hidden="1">2</definedName>
    <definedName name="solver_rlx" localSheetId="6" hidden="1">2</definedName>
    <definedName name="solver_rlx" localSheetId="4" hidden="1">2</definedName>
    <definedName name="solver_rsd" localSheetId="1" hidden="1">0</definedName>
    <definedName name="solver_rsd" localSheetId="3" hidden="1">0</definedName>
    <definedName name="solver_rsd" localSheetId="6" hidden="1">0</definedName>
    <definedName name="solver_rsd" localSheetId="4" hidden="1">0</definedName>
    <definedName name="solver_scl" localSheetId="1" hidden="1">1</definedName>
    <definedName name="solver_scl" localSheetId="3" hidden="1">2</definedName>
    <definedName name="solver_scl" localSheetId="6" hidden="1">1</definedName>
    <definedName name="solver_scl" localSheetId="4" hidden="1">1</definedName>
    <definedName name="solver_sho" localSheetId="1" hidden="1">2</definedName>
    <definedName name="solver_sho" localSheetId="3" hidden="1">2</definedName>
    <definedName name="solver_sho" localSheetId="6" hidden="1">2</definedName>
    <definedName name="solver_sho" localSheetId="4" hidden="1">2</definedName>
    <definedName name="solver_ssz" localSheetId="1" hidden="1">100</definedName>
    <definedName name="solver_ssz" localSheetId="3" hidden="1">0</definedName>
    <definedName name="solver_ssz" localSheetId="6" hidden="1">100</definedName>
    <definedName name="solver_ssz" localSheetId="4" hidden="1">100</definedName>
    <definedName name="solver_tim" localSheetId="1" hidden="1">2147483647</definedName>
    <definedName name="solver_tim" localSheetId="3" hidden="1">2147483647</definedName>
    <definedName name="solver_tim" localSheetId="6" hidden="1">2147483647</definedName>
    <definedName name="solver_tim" localSheetId="4" hidden="1">2147483647</definedName>
    <definedName name="solver_tol" localSheetId="1" hidden="1">0.01</definedName>
    <definedName name="solver_tol" localSheetId="3" hidden="1">0.01</definedName>
    <definedName name="solver_tol" localSheetId="6" hidden="1">0.01</definedName>
    <definedName name="solver_tol" localSheetId="4" hidden="1">0.01</definedName>
    <definedName name="solver_typ" localSheetId="1" hidden="1">2</definedName>
    <definedName name="solver_typ" localSheetId="3" hidden="1">2</definedName>
    <definedName name="solver_typ" localSheetId="6" hidden="1">2</definedName>
    <definedName name="solver_typ" localSheetId="4" hidden="1">2</definedName>
    <definedName name="solver_val" localSheetId="1" hidden="1">0</definedName>
    <definedName name="solver_val" localSheetId="3" hidden="1">0</definedName>
    <definedName name="solver_val" localSheetId="6" hidden="1">0</definedName>
    <definedName name="solver_val" localSheetId="4" hidden="1">0</definedName>
    <definedName name="solver_ver" localSheetId="1" hidden="1">3</definedName>
    <definedName name="solver_ver" localSheetId="3" hidden="1">3</definedName>
    <definedName name="solver_ver" localSheetId="6" hidden="1">3</definedName>
    <definedName name="solver_ver" localSheetId="4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11" l="1"/>
  <c r="E24" i="11"/>
  <c r="E25" i="11"/>
  <c r="E23" i="11"/>
  <c r="D26" i="11"/>
  <c r="C26" i="11"/>
  <c r="B26" i="11"/>
  <c r="J15" i="8"/>
  <c r="F26" i="8" l="1"/>
  <c r="G26" i="8"/>
  <c r="H24" i="8"/>
  <c r="H25" i="8"/>
  <c r="H23" i="8"/>
  <c r="E26" i="8"/>
  <c r="D26" i="8"/>
  <c r="C26" i="8"/>
  <c r="B26" i="8"/>
  <c r="B20" i="3" l="1" a="1"/>
  <c r="B20" i="3" s="1"/>
  <c r="B13" i="3" a="1"/>
  <c r="B13" i="3" s="1"/>
  <c r="B17" i="3" a="1"/>
  <c r="D17" i="3" s="1"/>
  <c r="E24" i="3"/>
  <c r="D24" i="3"/>
  <c r="C24" i="3"/>
  <c r="B24" i="3"/>
  <c r="F23" i="3"/>
  <c r="F22" i="3"/>
  <c r="F21" i="3"/>
  <c r="J13" i="3"/>
  <c r="E11" i="3" a="1"/>
  <c r="E11" i="3" s="1"/>
  <c r="C20" i="3" l="1"/>
  <c r="E20" i="3"/>
  <c r="D20" i="3"/>
  <c r="D13" i="3"/>
  <c r="C13" i="3"/>
  <c r="E13" i="3"/>
  <c r="E17" i="3"/>
  <c r="C17" i="3"/>
  <c r="B17" i="3"/>
  <c r="H11" i="3"/>
  <c r="G11" i="3"/>
  <c r="F11" i="3"/>
  <c r="J13" i="1" l="1"/>
  <c r="C24" i="1"/>
  <c r="D24" i="1"/>
  <c r="E24" i="1"/>
  <c r="B24" i="1"/>
  <c r="F22" i="1"/>
  <c r="F23" i="1"/>
  <c r="F21" i="1"/>
</calcChain>
</file>

<file path=xl/sharedStrings.xml><?xml version="1.0" encoding="utf-8"?>
<sst xmlns="http://schemas.openxmlformats.org/spreadsheetml/2006/main" count="555" uniqueCount="208">
  <si>
    <t>Поставщик</t>
  </si>
  <si>
    <t>A1</t>
  </si>
  <si>
    <t>A2</t>
  </si>
  <si>
    <t>A3</t>
  </si>
  <si>
    <t>B1</t>
  </si>
  <si>
    <t>B2</t>
  </si>
  <si>
    <t>B3</t>
  </si>
  <si>
    <t>B4</t>
  </si>
  <si>
    <t>Потребитель</t>
  </si>
  <si>
    <t>A1 50</t>
  </si>
  <si>
    <t>A2 40</t>
  </si>
  <si>
    <t>A3 20</t>
  </si>
  <si>
    <t>B1 30</t>
  </si>
  <si>
    <t>B2 25</t>
  </si>
  <si>
    <t>B3 35</t>
  </si>
  <si>
    <t>B4 20</t>
  </si>
  <si>
    <t>Матрица тарифов</t>
  </si>
  <si>
    <t>Решение</t>
  </si>
  <si>
    <t>Данные</t>
  </si>
  <si>
    <t>Z</t>
  </si>
  <si>
    <t>Microsoft Excel 16.0 Отчет о результатах</t>
  </si>
  <si>
    <t>Лист: [7лаба.xlsx]Лист1</t>
  </si>
  <si>
    <t>Отчет создан: 28.02.2026 14:54:18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</si>
  <si>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</si>
  <si>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</si>
  <si>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</si>
  <si>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0,031 секунд.</t>
  </si>
  <si>
    <t>Число итераций: 10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</si>
  <si>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</si>
  <si>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</si>
  <si>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</si>
  <si>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</si>
  <si>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</si>
  <si>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</si>
  <si>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</si>
  <si>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</si>
  <si>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</si>
  <si>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</si>
  <si>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</si>
  <si>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</si>
  <si>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</si>
  <si>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</si>
  <si>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</si>
  <si>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$J$13</t>
  </si>
  <si>
    <t>$B$21</t>
  </si>
  <si>
    <t>A1 B1</t>
  </si>
  <si>
    <t>$C$21</t>
  </si>
  <si>
    <t>A1 B2</t>
  </si>
  <si>
    <t>$D$21</t>
  </si>
  <si>
    <t>A1 B3</t>
  </si>
  <si>
    <t>$E$21</t>
  </si>
  <si>
    <t>A1 B4</t>
  </si>
  <si>
    <t>$B$22</t>
  </si>
  <si>
    <t>A2 B1</t>
  </si>
  <si>
    <t>$C$22</t>
  </si>
  <si>
    <t>A2 B2</t>
  </si>
  <si>
    <t>$D$22</t>
  </si>
  <si>
    <t>A2 B3</t>
  </si>
  <si>
    <t>$E$22</t>
  </si>
  <si>
    <t>A2 B4</t>
  </si>
  <si>
    <t>$B$23</t>
  </si>
  <si>
    <t>A3 B1</t>
  </si>
  <si>
    <t>$C$23</t>
  </si>
  <si>
    <t>A3 B2</t>
  </si>
  <si>
    <t>$D$23</t>
  </si>
  <si>
    <t>A3 B3</t>
  </si>
  <si>
    <t>$E$23</t>
  </si>
  <si>
    <t>A3 B4</t>
  </si>
  <si>
    <t>$B$24</t>
  </si>
  <si>
    <t>$B$24=$B$17</t>
  </si>
  <si>
    <t>Привязка</t>
  </si>
  <si>
    <t>$C$24</t>
  </si>
  <si>
    <t>$C$24=$C$17</t>
  </si>
  <si>
    <t>$D$24</t>
  </si>
  <si>
    <t>$D$24=$D$17</t>
  </si>
  <si>
    <t>$E$24</t>
  </si>
  <si>
    <t>$E$24=$E$17</t>
  </si>
  <si>
    <t>$F$14</t>
  </si>
  <si>
    <t>A1 B2 25</t>
  </si>
  <si>
    <t>$F$14=$F$21</t>
  </si>
  <si>
    <t>$F$15</t>
  </si>
  <si>
    <t>A2 B2 25</t>
  </si>
  <si>
    <t>$F$15=$F$22</t>
  </si>
  <si>
    <t>$F$16</t>
  </si>
  <si>
    <t>A3 B2 25</t>
  </si>
  <si>
    <t>$F$16=$F$23</t>
  </si>
  <si>
    <t>$B$21&gt;=0</t>
  </si>
  <si>
    <t>Без привязки</t>
  </si>
  <si>
    <t>$C$21&gt;=0</t>
  </si>
  <si>
    <t>$D$21&gt;=0</t>
  </si>
  <si>
    <t>$E$21&gt;=0</t>
  </si>
  <si>
    <t>$B$22&gt;=0</t>
  </si>
  <si>
    <t>$C$22&gt;=0</t>
  </si>
  <si>
    <t>$D$22&gt;=0</t>
  </si>
  <si>
    <t>$E$22&gt;=0</t>
  </si>
  <si>
    <t>$B$23&gt;=0</t>
  </si>
  <si>
    <t>$C$23&gt;=0</t>
  </si>
  <si>
    <t>$D$23&gt;=0</t>
  </si>
  <si>
    <t>$E$23&gt;=0</t>
  </si>
  <si>
    <t>$B$21:$E$23=Целочисленное</t>
  </si>
  <si>
    <t>$B$21:$E$23</t>
  </si>
  <si>
    <t>$B$24:$E$24 = $B$17:$E$17</t>
  </si>
  <si>
    <t>$F$14:$F$16 = $F$21:$F$23</t>
  </si>
  <si>
    <t>$B$21:$E$23 &gt;= 0</t>
  </si>
  <si>
    <t>З1</t>
  </si>
  <si>
    <t>З2</t>
  </si>
  <si>
    <t>З3</t>
  </si>
  <si>
    <t>Поставщики</t>
  </si>
  <si>
    <t>Потребители</t>
  </si>
  <si>
    <t>ПМС-3</t>
  </si>
  <si>
    <t>ПМС-2</t>
  </si>
  <si>
    <t>ПМС-4</t>
  </si>
  <si>
    <t>ПМС-1</t>
  </si>
  <si>
    <t>З1 250000</t>
  </si>
  <si>
    <t>З2 200000</t>
  </si>
  <si>
    <t>З3 240000</t>
  </si>
  <si>
    <t>ПМС-1 200000</t>
  </si>
  <si>
    <t>ПМС-2 150000</t>
  </si>
  <si>
    <t>ПМС-3 220000</t>
  </si>
  <si>
    <t>ПМС-4 120000</t>
  </si>
  <si>
    <t>Лист: [7лаба.xlsx]Лист3</t>
  </si>
  <si>
    <t>Число итераций: 8 Число подзадач: 0</t>
  </si>
  <si>
    <t>Отчет создан: 28.02.2026 15:09:21</t>
  </si>
  <si>
    <t>Время решения: 0,047 секунд.</t>
  </si>
  <si>
    <t xml:space="preserve">Максимальное время Без пределов,  Число итераций Без пределов, Precision </t>
  </si>
  <si>
    <t>Максимальное число подзадач Без пределов, Максимальное число целочисленных решений Без пределов, Целочисленное отклонение %, Считать неотрицательными</t>
  </si>
  <si>
    <t>З1 ПМС-1</t>
  </si>
  <si>
    <t>З1 ПМС-2</t>
  </si>
  <si>
    <t>З1 ПМС-3</t>
  </si>
  <si>
    <t>З1 ПМС-4</t>
  </si>
  <si>
    <t>З2 ПМС-1</t>
  </si>
  <si>
    <t>З2 ПМС-2</t>
  </si>
  <si>
    <t>З2 ПМС-3</t>
  </si>
  <si>
    <t>З2 ПМС-4</t>
  </si>
  <si>
    <t>З3 ПМС-1</t>
  </si>
  <si>
    <t>З3 ПМС-2</t>
  </si>
  <si>
    <t>З3 ПМС-3</t>
  </si>
  <si>
    <t>З3 ПМС-4</t>
  </si>
  <si>
    <t>З1 ПМС-2 150000</t>
  </si>
  <si>
    <t>З2 ПМС-2 150000</t>
  </si>
  <si>
    <t>З3 ПМС-2 150000</t>
  </si>
  <si>
    <t>ЛЕС</t>
  </si>
  <si>
    <t>Предприятие</t>
  </si>
  <si>
    <t>B5</t>
  </si>
  <si>
    <t>B6</t>
  </si>
  <si>
    <t>A1 250000</t>
  </si>
  <si>
    <t>A2 300000</t>
  </si>
  <si>
    <t>A3 350000</t>
  </si>
  <si>
    <t>B1 100000</t>
  </si>
  <si>
    <t>B2 200000</t>
  </si>
  <si>
    <t>B3 20000</t>
  </si>
  <si>
    <t>B4 180000</t>
  </si>
  <si>
    <t>B6 150000</t>
  </si>
  <si>
    <t>B5 50000</t>
  </si>
  <si>
    <t>$B$26</t>
  </si>
  <si>
    <t>$B$26=$B$19</t>
  </si>
  <si>
    <t>$C$26</t>
  </si>
  <si>
    <t>$C$26=$C$19</t>
  </si>
  <si>
    <t>$D$26</t>
  </si>
  <si>
    <t>$D$26=$D$19</t>
  </si>
  <si>
    <t>$J$15</t>
  </si>
  <si>
    <t>$B$25</t>
  </si>
  <si>
    <t>$C$25</t>
  </si>
  <si>
    <t>$D$25</t>
  </si>
  <si>
    <t>$E$25</t>
  </si>
  <si>
    <t>$B$24&gt;=0</t>
  </si>
  <si>
    <t>$C$24&gt;=0</t>
  </si>
  <si>
    <t>$D$24&gt;=0</t>
  </si>
  <si>
    <t>$B$25&gt;=0</t>
  </si>
  <si>
    <t>$C$25&gt;=0</t>
  </si>
  <si>
    <t>$D$25&gt;=0</t>
  </si>
  <si>
    <t>Ф1</t>
  </si>
  <si>
    <t>Ф2</t>
  </si>
  <si>
    <t>Ф3</t>
  </si>
  <si>
    <t>Фирма</t>
  </si>
  <si>
    <t>Стоимость 1 комплекта</t>
  </si>
  <si>
    <t>Р1</t>
  </si>
  <si>
    <t>Р2</t>
  </si>
  <si>
    <t>Р3</t>
  </si>
  <si>
    <t>Ф1 1000</t>
  </si>
  <si>
    <t>Ф2 1500</t>
  </si>
  <si>
    <t>Ф3 1200</t>
  </si>
  <si>
    <t>Р1 1000</t>
  </si>
  <si>
    <t>Р2 1200</t>
  </si>
  <si>
    <t>Р3 1500</t>
  </si>
  <si>
    <t>Лист: [7лаба(АвтоматическиВосстановлено).xlsx]Лист4</t>
  </si>
  <si>
    <t>Отчет создан: 28.02.2026 16:22:33</t>
  </si>
  <si>
    <t>Ф1 Р1</t>
  </si>
  <si>
    <t>Ф1 Р2</t>
  </si>
  <si>
    <t>Ф1 Р3</t>
  </si>
  <si>
    <t>Ф2 Р1</t>
  </si>
  <si>
    <t>Ф2 Р2</t>
  </si>
  <si>
    <t>Ф2 Р3</t>
  </si>
  <si>
    <t>Ф3 Р1</t>
  </si>
  <si>
    <t>Ф3 Р2</t>
  </si>
  <si>
    <t>Ф3 Р3</t>
  </si>
  <si>
    <t>Ф1 Р1 1000</t>
  </si>
  <si>
    <t>$E$23&lt;=$E$16</t>
  </si>
  <si>
    <t>Ф2 Р1 1000</t>
  </si>
  <si>
    <t>$E$24&lt;=$E$17</t>
  </si>
  <si>
    <t>Ф3 Р1 1000</t>
  </si>
  <si>
    <t>$E$25&lt;=$E$18</t>
  </si>
  <si>
    <t>$B$23:$D$25=Целочисленное</t>
  </si>
  <si>
    <t>$B$23:$D$25</t>
  </si>
  <si>
    <t>$B$26:$D$26 = $B$19:$D$19</t>
  </si>
  <si>
    <t>$E$23:$E$25 &lt;= $E$16:$E$18</t>
  </si>
  <si>
    <t>$B$23:$D$25 &gt;= 0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</si>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</sst>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1" xfId="0" applyNumberFormat="1" applyBorder="1"/>
    <xf numFmtId="0" fontId="1" fillId="0" borderId="0" xfId="0" applyFont="1"/>
    <xf numFmtId="0" fontId="0" fillId="0" borderId="5" xfId="0" applyFill="1" applyBorder="1" applyAlignment="1"/>
    <xf numFmtId="0" fontId="2" fillId="0" borderId="4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2" fontId="0" fillId="0" borderId="0" xfId="0" applyNumberFormat="1"/>
    <xf numFmtId="0" fontId="0" fillId="0" borderId="7" xfId="0" applyBorder="1"/>
    <xf numFmtId="2" fontId="0" fillId="0" borderId="8" xfId="0" applyNumberFormat="1" applyBorder="1"/>
    <xf numFmtId="0" fontId="0" fillId="0" borderId="0" xfId="0" applyFill="1" applyBorder="1"/>
    <xf numFmtId="0" fontId="5" fillId="0" borderId="4" xfId="0" applyFont="1" applyFill="1" applyBorder="1" applyAlignment="1">
      <alignment horizontal="center"/>
    </xf>
    <xf numFmtId="2" fontId="0" fillId="0" borderId="5" xfId="0" applyNumberFormat="1" applyFill="1" applyBorder="1" applyAlignment="1"/>
    <xf numFmtId="0" fontId="5" fillId="0" borderId="0" xfId="0" applyFont="1" applyFill="1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F62-5CCD-4002-B1CA-6F0382B9B1E2}">
  <dimension ref="A1:G64"/>
  <sheetViews>
    <sheetView showGridLines="0" topLeftCell="A5" workbookViewId="0">
      <selection activeCell="B38" sqref="B38"/>
    </sheetView>
  </sheetViews>
  <sheetFormatPr defaultRowHeight="14.4" outlineLevelRow="1" x14ac:dyDescent="0.3"/>
  <cols>
    <col min="1" max="1" width="2.33203125" customWidth="1"/>
    <col min="2" max="2" width="26.77734375" bestFit="1" customWidth="1"/>
    <col min="3" max="3" width="8.109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5" t="s">
        <v>20</v>
      </c>
    </row>
    <row r="2" spans="1:5" x14ac:dyDescent="0.3">
      <c r="A2" s="5" t="s">
        <v>21</v>
      </c>
    </row>
    <row r="3" spans="1:5" x14ac:dyDescent="0.3">
      <c r="A3" s="5" t="s">
        <v>22</v>
      </c>
    </row>
    <row r="4" spans="1:5" x14ac:dyDescent="0.3">
      <c r="A4" s="5" t="s">
        <v>23</v>
      </c>
    </row>
    <row r="5" spans="1:5" x14ac:dyDescent="0.3">
      <c r="A5" s="5" t="s">
        <v>24</v>
      </c>
    </row>
    <row r="6" spans="1:5" outlineLevel="1" x14ac:dyDescent="0.3">
      <c r="A6" s="5"/>
      <c r="B6" t="s">
        <v>25</v>
      </c>
    </row>
    <row r="7" spans="1:5" outlineLevel="1" x14ac:dyDescent="0.3">
      <c r="A7" s="5"/>
      <c r="B7" t="s">
        <v>26</v>
      </c>
    </row>
    <row r="8" spans="1:5" outlineLevel="1" x14ac:dyDescent="0.3">
      <c r="A8" s="5"/>
      <c r="B8" t="s">
        <v>27</v>
      </c>
    </row>
    <row r="9" spans="1:5" x14ac:dyDescent="0.3">
      <c r="A9" s="5" t="s">
        <v>28</v>
      </c>
    </row>
    <row r="10" spans="1:5" outlineLevel="1" x14ac:dyDescent="0.3">
      <c r="B10" t="s">
        <v>29</v>
      </c>
    </row>
    <row r="11" spans="1:5" outlineLevel="1" x14ac:dyDescent="0.3">
      <c r="B11" t="s">
        <v>30</v>
      </c>
    </row>
    <row r="14" spans="1:5" ht="15" thickBot="1" x14ac:dyDescent="0.35">
      <c r="A14" t="s">
        <v>31</v>
      </c>
    </row>
    <row r="15" spans="1:5" ht="15" thickBot="1" x14ac:dyDescent="0.35">
      <c r="B15" s="7" t="s">
        <v>32</v>
      </c>
      <c r="C15" s="7" t="s">
        <v>33</v>
      </c>
      <c r="D15" s="7" t="s">
        <v>34</v>
      </c>
      <c r="E15" s="7" t="s">
        <v>35</v>
      </c>
    </row>
    <row r="16" spans="1:5" ht="15" thickBot="1" x14ac:dyDescent="0.35">
      <c r="B16" s="6" t="s">
        <v>43</v>
      </c>
      <c r="C16" s="6" t="s">
        <v>19</v>
      </c>
      <c r="D16" s="10">
        <v>190</v>
      </c>
      <c r="E16" s="10">
        <v>190</v>
      </c>
    </row>
    <row r="19" spans="1:6" ht="15" thickBot="1" x14ac:dyDescent="0.35">
      <c r="A19" t="s">
        <v>36</v>
      </c>
    </row>
    <row r="20" spans="1:6" ht="15" thickBot="1" x14ac:dyDescent="0.35">
      <c r="B20" s="7" t="s">
        <v>32</v>
      </c>
      <c r="C20" s="7" t="s">
        <v>33</v>
      </c>
      <c r="D20" s="7" t="s">
        <v>34</v>
      </c>
      <c r="E20" s="7" t="s">
        <v>35</v>
      </c>
      <c r="F20" s="7" t="s">
        <v>37</v>
      </c>
    </row>
    <row r="21" spans="1:6" x14ac:dyDescent="0.3">
      <c r="B21" s="14" t="s">
        <v>100</v>
      </c>
      <c r="C21" s="13"/>
      <c r="D21" s="13"/>
      <c r="E21" s="13"/>
      <c r="F21" s="13"/>
    </row>
    <row r="22" spans="1:6" outlineLevel="1" x14ac:dyDescent="0.3">
      <c r="B22" s="9" t="s">
        <v>44</v>
      </c>
      <c r="C22" s="9" t="s">
        <v>45</v>
      </c>
      <c r="D22" s="11">
        <v>5</v>
      </c>
      <c r="E22" s="11">
        <v>5</v>
      </c>
      <c r="F22" s="9" t="s">
        <v>37</v>
      </c>
    </row>
    <row r="23" spans="1:6" outlineLevel="1" x14ac:dyDescent="0.3">
      <c r="B23" s="9" t="s">
        <v>46</v>
      </c>
      <c r="C23" s="9" t="s">
        <v>47</v>
      </c>
      <c r="D23" s="11">
        <v>25</v>
      </c>
      <c r="E23" s="11">
        <v>25</v>
      </c>
      <c r="F23" s="9" t="s">
        <v>37</v>
      </c>
    </row>
    <row r="24" spans="1:6" outlineLevel="1" x14ac:dyDescent="0.3">
      <c r="B24" s="9" t="s">
        <v>48</v>
      </c>
      <c r="C24" s="9" t="s">
        <v>49</v>
      </c>
      <c r="D24" s="11">
        <v>0</v>
      </c>
      <c r="E24" s="11">
        <v>0</v>
      </c>
      <c r="F24" s="9" t="s">
        <v>37</v>
      </c>
    </row>
    <row r="25" spans="1:6" outlineLevel="1" x14ac:dyDescent="0.3">
      <c r="B25" s="9" t="s">
        <v>50</v>
      </c>
      <c r="C25" s="9" t="s">
        <v>51</v>
      </c>
      <c r="D25" s="11">
        <v>20</v>
      </c>
      <c r="E25" s="11">
        <v>20</v>
      </c>
      <c r="F25" s="9" t="s">
        <v>37</v>
      </c>
    </row>
    <row r="26" spans="1:6" outlineLevel="1" x14ac:dyDescent="0.3">
      <c r="B26" s="9" t="s">
        <v>52</v>
      </c>
      <c r="C26" s="9" t="s">
        <v>53</v>
      </c>
      <c r="D26" s="11">
        <v>5</v>
      </c>
      <c r="E26" s="11">
        <v>5</v>
      </c>
      <c r="F26" s="9" t="s">
        <v>37</v>
      </c>
    </row>
    <row r="27" spans="1:6" outlineLevel="1" x14ac:dyDescent="0.3">
      <c r="B27" s="9" t="s">
        <v>54</v>
      </c>
      <c r="C27" s="9" t="s">
        <v>55</v>
      </c>
      <c r="D27" s="11">
        <v>0</v>
      </c>
      <c r="E27" s="11">
        <v>0</v>
      </c>
      <c r="F27" s="9" t="s">
        <v>37</v>
      </c>
    </row>
    <row r="28" spans="1:6" outlineLevel="1" x14ac:dyDescent="0.3">
      <c r="B28" s="9" t="s">
        <v>56</v>
      </c>
      <c r="C28" s="9" t="s">
        <v>57</v>
      </c>
      <c r="D28" s="11">
        <v>35</v>
      </c>
      <c r="E28" s="11">
        <v>35</v>
      </c>
      <c r="F28" s="9" t="s">
        <v>37</v>
      </c>
    </row>
    <row r="29" spans="1:6" outlineLevel="1" x14ac:dyDescent="0.3">
      <c r="B29" s="9" t="s">
        <v>58</v>
      </c>
      <c r="C29" s="9" t="s">
        <v>59</v>
      </c>
      <c r="D29" s="11">
        <v>0</v>
      </c>
      <c r="E29" s="11">
        <v>0</v>
      </c>
      <c r="F29" s="9" t="s">
        <v>37</v>
      </c>
    </row>
    <row r="30" spans="1:6" outlineLevel="1" x14ac:dyDescent="0.3">
      <c r="B30" s="9" t="s">
        <v>60</v>
      </c>
      <c r="C30" s="9" t="s">
        <v>61</v>
      </c>
      <c r="D30" s="11">
        <v>20</v>
      </c>
      <c r="E30" s="11">
        <v>20</v>
      </c>
      <c r="F30" s="9" t="s">
        <v>37</v>
      </c>
    </row>
    <row r="31" spans="1:6" outlineLevel="1" x14ac:dyDescent="0.3">
      <c r="B31" s="9" t="s">
        <v>62</v>
      </c>
      <c r="C31" s="9" t="s">
        <v>63</v>
      </c>
      <c r="D31" s="11">
        <v>0</v>
      </c>
      <c r="E31" s="11">
        <v>0</v>
      </c>
      <c r="F31" s="9" t="s">
        <v>37</v>
      </c>
    </row>
    <row r="32" spans="1:6" outlineLevel="1" x14ac:dyDescent="0.3">
      <c r="B32" s="9" t="s">
        <v>64</v>
      </c>
      <c r="C32" s="9" t="s">
        <v>65</v>
      </c>
      <c r="D32" s="11">
        <v>0</v>
      </c>
      <c r="E32" s="11">
        <v>0</v>
      </c>
      <c r="F32" s="9" t="s">
        <v>37</v>
      </c>
    </row>
    <row r="33" spans="1:7" ht="15" outlineLevel="1" thickBot="1" x14ac:dyDescent="0.35">
      <c r="B33" s="6" t="s">
        <v>66</v>
      </c>
      <c r="C33" s="6" t="s">
        <v>67</v>
      </c>
      <c r="D33" s="10">
        <v>0</v>
      </c>
      <c r="E33" s="10">
        <v>0</v>
      </c>
      <c r="F33" s="6" t="s">
        <v>37</v>
      </c>
    </row>
    <row r="34" spans="1:7" x14ac:dyDescent="0.3">
      <c r="B34" s="8"/>
      <c r="C34" s="8"/>
      <c r="D34" s="12"/>
      <c r="E34" s="12"/>
      <c r="F34" s="8"/>
    </row>
    <row r="37" spans="1:7" ht="15" thickBot="1" x14ac:dyDescent="0.35">
      <c r="A37" t="s">
        <v>38</v>
      </c>
    </row>
    <row r="38" spans="1:7" ht="15" thickBot="1" x14ac:dyDescent="0.35">
      <c r="B38" s="7" t="s">
        <v>32</v>
      </c>
      <c r="C38" s="7" t="s">
        <v>33</v>
      </c>
      <c r="D38" s="7" t="s">
        <v>39</v>
      </c>
      <c r="E38" s="7" t="s">
        <v>40</v>
      </c>
      <c r="F38" s="7" t="s">
        <v>41</v>
      </c>
      <c r="G38" s="7" t="s">
        <v>42</v>
      </c>
    </row>
    <row r="39" spans="1:7" x14ac:dyDescent="0.3">
      <c r="B39" s="14" t="s">
        <v>101</v>
      </c>
      <c r="C39" s="13"/>
      <c r="D39" s="13"/>
      <c r="E39" s="13"/>
      <c r="F39" s="13"/>
      <c r="G39" s="13"/>
    </row>
    <row r="40" spans="1:7" hidden="1" outlineLevel="1" x14ac:dyDescent="0.3">
      <c r="B40" s="9" t="s">
        <v>68</v>
      </c>
      <c r="C40" s="9" t="s">
        <v>4</v>
      </c>
      <c r="D40" s="11">
        <v>30</v>
      </c>
      <c r="E40" s="9" t="s">
        <v>69</v>
      </c>
      <c r="F40" s="9" t="s">
        <v>70</v>
      </c>
      <c r="G40" s="9">
        <v>0</v>
      </c>
    </row>
    <row r="41" spans="1:7" hidden="1" outlineLevel="1" x14ac:dyDescent="0.3">
      <c r="B41" s="9" t="s">
        <v>71</v>
      </c>
      <c r="C41" s="9" t="s">
        <v>5</v>
      </c>
      <c r="D41" s="11">
        <v>25</v>
      </c>
      <c r="E41" s="9" t="s">
        <v>72</v>
      </c>
      <c r="F41" s="9" t="s">
        <v>70</v>
      </c>
      <c r="G41" s="9">
        <v>0</v>
      </c>
    </row>
    <row r="42" spans="1:7" hidden="1" outlineLevel="1" x14ac:dyDescent="0.3">
      <c r="B42" s="9" t="s">
        <v>73</v>
      </c>
      <c r="C42" s="9" t="s">
        <v>6</v>
      </c>
      <c r="D42" s="11">
        <v>35</v>
      </c>
      <c r="E42" s="9" t="s">
        <v>74</v>
      </c>
      <c r="F42" s="9" t="s">
        <v>70</v>
      </c>
      <c r="G42" s="9">
        <v>0</v>
      </c>
    </row>
    <row r="43" spans="1:7" hidden="1" outlineLevel="1" x14ac:dyDescent="0.3">
      <c r="B43" s="9" t="s">
        <v>75</v>
      </c>
      <c r="C43" s="9" t="s">
        <v>7</v>
      </c>
      <c r="D43" s="11">
        <v>20</v>
      </c>
      <c r="E43" s="9" t="s">
        <v>76</v>
      </c>
      <c r="F43" s="9" t="s">
        <v>70</v>
      </c>
      <c r="G43" s="9">
        <v>0</v>
      </c>
    </row>
    <row r="44" spans="1:7" collapsed="1" x14ac:dyDescent="0.3">
      <c r="B44" s="9"/>
      <c r="C44" s="9"/>
      <c r="D44" s="11"/>
      <c r="E44" s="9"/>
      <c r="F44" s="9"/>
      <c r="G44" s="9"/>
    </row>
    <row r="45" spans="1:7" x14ac:dyDescent="0.3">
      <c r="B45" s="15" t="s">
        <v>102</v>
      </c>
      <c r="C45" s="9"/>
      <c r="D45" s="11"/>
      <c r="E45" s="9"/>
      <c r="F45" s="9"/>
      <c r="G45" s="9"/>
    </row>
    <row r="46" spans="1:7" hidden="1" outlineLevel="1" x14ac:dyDescent="0.3">
      <c r="B46" s="9" t="s">
        <v>77</v>
      </c>
      <c r="C46" s="9" t="s">
        <v>78</v>
      </c>
      <c r="D46" s="11">
        <v>50</v>
      </c>
      <c r="E46" s="9" t="s">
        <v>79</v>
      </c>
      <c r="F46" s="9" t="s">
        <v>70</v>
      </c>
      <c r="G46" s="9">
        <v>0</v>
      </c>
    </row>
    <row r="47" spans="1:7" hidden="1" outlineLevel="1" x14ac:dyDescent="0.3">
      <c r="B47" s="9" t="s">
        <v>80</v>
      </c>
      <c r="C47" s="9" t="s">
        <v>81</v>
      </c>
      <c r="D47" s="11">
        <v>40</v>
      </c>
      <c r="E47" s="9" t="s">
        <v>82</v>
      </c>
      <c r="F47" s="9" t="s">
        <v>70</v>
      </c>
      <c r="G47" s="9">
        <v>0</v>
      </c>
    </row>
    <row r="48" spans="1:7" hidden="1" outlineLevel="1" x14ac:dyDescent="0.3">
      <c r="B48" s="9" t="s">
        <v>83</v>
      </c>
      <c r="C48" s="9" t="s">
        <v>84</v>
      </c>
      <c r="D48" s="11">
        <v>20</v>
      </c>
      <c r="E48" s="9" t="s">
        <v>85</v>
      </c>
      <c r="F48" s="9" t="s">
        <v>70</v>
      </c>
      <c r="G48" s="9">
        <v>0</v>
      </c>
    </row>
    <row r="49" spans="2:7" collapsed="1" x14ac:dyDescent="0.3">
      <c r="B49" s="9"/>
      <c r="C49" s="9"/>
      <c r="D49" s="11"/>
      <c r="E49" s="9"/>
      <c r="F49" s="9"/>
      <c r="G49" s="9"/>
    </row>
    <row r="50" spans="2:7" x14ac:dyDescent="0.3">
      <c r="B50" s="15" t="s">
        <v>103</v>
      </c>
      <c r="C50" s="9"/>
      <c r="D50" s="11"/>
      <c r="E50" s="9"/>
      <c r="F50" s="9"/>
      <c r="G50" s="9"/>
    </row>
    <row r="51" spans="2:7" hidden="1" outlineLevel="1" x14ac:dyDescent="0.3">
      <c r="B51" s="9" t="s">
        <v>44</v>
      </c>
      <c r="C51" s="9" t="s">
        <v>45</v>
      </c>
      <c r="D51" s="11">
        <v>5</v>
      </c>
      <c r="E51" s="9" t="s">
        <v>86</v>
      </c>
      <c r="F51" s="9" t="s">
        <v>87</v>
      </c>
      <c r="G51" s="11">
        <v>5</v>
      </c>
    </row>
    <row r="52" spans="2:7" hidden="1" outlineLevel="1" x14ac:dyDescent="0.3">
      <c r="B52" s="9" t="s">
        <v>46</v>
      </c>
      <c r="C52" s="9" t="s">
        <v>47</v>
      </c>
      <c r="D52" s="11">
        <v>25</v>
      </c>
      <c r="E52" s="9" t="s">
        <v>88</v>
      </c>
      <c r="F52" s="9" t="s">
        <v>87</v>
      </c>
      <c r="G52" s="11">
        <v>25</v>
      </c>
    </row>
    <row r="53" spans="2:7" hidden="1" outlineLevel="1" x14ac:dyDescent="0.3">
      <c r="B53" s="9" t="s">
        <v>48</v>
      </c>
      <c r="C53" s="9" t="s">
        <v>49</v>
      </c>
      <c r="D53" s="11">
        <v>0</v>
      </c>
      <c r="E53" s="9" t="s">
        <v>89</v>
      </c>
      <c r="F53" s="9" t="s">
        <v>70</v>
      </c>
      <c r="G53" s="11">
        <v>0</v>
      </c>
    </row>
    <row r="54" spans="2:7" hidden="1" outlineLevel="1" x14ac:dyDescent="0.3">
      <c r="B54" s="9" t="s">
        <v>50</v>
      </c>
      <c r="C54" s="9" t="s">
        <v>51</v>
      </c>
      <c r="D54" s="11">
        <v>20</v>
      </c>
      <c r="E54" s="9" t="s">
        <v>90</v>
      </c>
      <c r="F54" s="9" t="s">
        <v>87</v>
      </c>
      <c r="G54" s="11">
        <v>20</v>
      </c>
    </row>
    <row r="55" spans="2:7" hidden="1" outlineLevel="1" x14ac:dyDescent="0.3">
      <c r="B55" s="9" t="s">
        <v>52</v>
      </c>
      <c r="C55" s="9" t="s">
        <v>53</v>
      </c>
      <c r="D55" s="11">
        <v>5</v>
      </c>
      <c r="E55" s="9" t="s">
        <v>91</v>
      </c>
      <c r="F55" s="9" t="s">
        <v>87</v>
      </c>
      <c r="G55" s="11">
        <v>5</v>
      </c>
    </row>
    <row r="56" spans="2:7" hidden="1" outlineLevel="1" x14ac:dyDescent="0.3">
      <c r="B56" s="9" t="s">
        <v>54</v>
      </c>
      <c r="C56" s="9" t="s">
        <v>55</v>
      </c>
      <c r="D56" s="11">
        <v>0</v>
      </c>
      <c r="E56" s="9" t="s">
        <v>92</v>
      </c>
      <c r="F56" s="9" t="s">
        <v>70</v>
      </c>
      <c r="G56" s="11">
        <v>0</v>
      </c>
    </row>
    <row r="57" spans="2:7" hidden="1" outlineLevel="1" x14ac:dyDescent="0.3">
      <c r="B57" s="9" t="s">
        <v>56</v>
      </c>
      <c r="C57" s="9" t="s">
        <v>57</v>
      </c>
      <c r="D57" s="11">
        <v>35</v>
      </c>
      <c r="E57" s="9" t="s">
        <v>93</v>
      </c>
      <c r="F57" s="9" t="s">
        <v>87</v>
      </c>
      <c r="G57" s="11">
        <v>35</v>
      </c>
    </row>
    <row r="58" spans="2:7" hidden="1" outlineLevel="1" x14ac:dyDescent="0.3">
      <c r="B58" s="9" t="s">
        <v>58</v>
      </c>
      <c r="C58" s="9" t="s">
        <v>59</v>
      </c>
      <c r="D58" s="11">
        <v>0</v>
      </c>
      <c r="E58" s="9" t="s">
        <v>94</v>
      </c>
      <c r="F58" s="9" t="s">
        <v>70</v>
      </c>
      <c r="G58" s="11">
        <v>0</v>
      </c>
    </row>
    <row r="59" spans="2:7" hidden="1" outlineLevel="1" x14ac:dyDescent="0.3">
      <c r="B59" s="9" t="s">
        <v>60</v>
      </c>
      <c r="C59" s="9" t="s">
        <v>61</v>
      </c>
      <c r="D59" s="11">
        <v>20</v>
      </c>
      <c r="E59" s="9" t="s">
        <v>95</v>
      </c>
      <c r="F59" s="9" t="s">
        <v>87</v>
      </c>
      <c r="G59" s="11">
        <v>20</v>
      </c>
    </row>
    <row r="60" spans="2:7" hidden="1" outlineLevel="1" x14ac:dyDescent="0.3">
      <c r="B60" s="9" t="s">
        <v>62</v>
      </c>
      <c r="C60" s="9" t="s">
        <v>63</v>
      </c>
      <c r="D60" s="11">
        <v>0</v>
      </c>
      <c r="E60" s="9" t="s">
        <v>96</v>
      </c>
      <c r="F60" s="9" t="s">
        <v>70</v>
      </c>
      <c r="G60" s="11">
        <v>0</v>
      </c>
    </row>
    <row r="61" spans="2:7" hidden="1" outlineLevel="1" x14ac:dyDescent="0.3">
      <c r="B61" s="9" t="s">
        <v>64</v>
      </c>
      <c r="C61" s="9" t="s">
        <v>65</v>
      </c>
      <c r="D61" s="11">
        <v>0</v>
      </c>
      <c r="E61" s="9" t="s">
        <v>97</v>
      </c>
      <c r="F61" s="9" t="s">
        <v>70</v>
      </c>
      <c r="G61" s="11">
        <v>0</v>
      </c>
    </row>
    <row r="62" spans="2:7" hidden="1" outlineLevel="1" x14ac:dyDescent="0.3">
      <c r="B62" s="9" t="s">
        <v>66</v>
      </c>
      <c r="C62" s="9" t="s">
        <v>67</v>
      </c>
      <c r="D62" s="11">
        <v>0</v>
      </c>
      <c r="E62" s="9" t="s">
        <v>98</v>
      </c>
      <c r="F62" s="9" t="s">
        <v>70</v>
      </c>
      <c r="G62" s="11">
        <v>0</v>
      </c>
    </row>
    <row r="63" spans="2:7" collapsed="1" x14ac:dyDescent="0.3">
      <c r="B63" s="9"/>
      <c r="C63" s="9"/>
      <c r="D63" s="11"/>
      <c r="E63" s="9"/>
      <c r="F63" s="9"/>
      <c r="G63" s="11"/>
    </row>
    <row r="64" spans="2:7" ht="15" thickBot="1" x14ac:dyDescent="0.35">
      <c r="B64" s="6" t="s">
        <v>99</v>
      </c>
      <c r="C64" s="6"/>
      <c r="D64" s="6"/>
      <c r="E64" s="6"/>
      <c r="F64" s="6"/>
      <c r="G6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J12" sqref="J12"/>
    </sheetView>
  </sheetViews>
  <sheetFormatPr defaultRowHeight="14.4" x14ac:dyDescent="0.3"/>
  <cols>
    <col min="1" max="1" width="11.6640625" customWidth="1"/>
  </cols>
  <sheetData>
    <row r="1" spans="1:10" x14ac:dyDescent="0.3">
      <c r="A1">
        <v>1</v>
      </c>
    </row>
    <row r="2" spans="1:10" x14ac:dyDescent="0.3">
      <c r="A2" t="s">
        <v>0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10" x14ac:dyDescent="0.3">
      <c r="A3" t="s">
        <v>1</v>
      </c>
      <c r="B3">
        <v>50</v>
      </c>
      <c r="D3" s="1" t="s">
        <v>9</v>
      </c>
      <c r="E3" s="2">
        <v>3</v>
      </c>
      <c r="F3" s="2">
        <v>2</v>
      </c>
      <c r="G3" s="2">
        <v>4</v>
      </c>
      <c r="H3" s="2">
        <v>1</v>
      </c>
    </row>
    <row r="4" spans="1:10" x14ac:dyDescent="0.3">
      <c r="A4" t="s">
        <v>2</v>
      </c>
      <c r="B4">
        <v>40</v>
      </c>
      <c r="D4" s="1" t="s">
        <v>10</v>
      </c>
      <c r="E4" s="2">
        <v>2</v>
      </c>
      <c r="F4" s="2">
        <v>3</v>
      </c>
      <c r="G4" s="2">
        <v>1</v>
      </c>
      <c r="H4" s="2">
        <v>5</v>
      </c>
    </row>
    <row r="5" spans="1:10" x14ac:dyDescent="0.3">
      <c r="A5" t="s">
        <v>3</v>
      </c>
      <c r="B5">
        <v>20</v>
      </c>
      <c r="D5" s="1" t="s">
        <v>11</v>
      </c>
      <c r="E5" s="2">
        <v>3</v>
      </c>
      <c r="F5" s="2">
        <v>2</v>
      </c>
      <c r="G5" s="2">
        <v>4</v>
      </c>
      <c r="H5" s="2">
        <v>4</v>
      </c>
    </row>
    <row r="6" spans="1:10" x14ac:dyDescent="0.3">
      <c r="A6" t="s">
        <v>8</v>
      </c>
      <c r="E6" s="28" t="s">
        <v>16</v>
      </c>
      <c r="F6" s="28"/>
      <c r="G6" s="28"/>
      <c r="H6" s="28"/>
    </row>
    <row r="7" spans="1:10" x14ac:dyDescent="0.3">
      <c r="A7" t="s">
        <v>4</v>
      </c>
      <c r="B7">
        <v>30</v>
      </c>
      <c r="E7" s="1">
        <v>3</v>
      </c>
      <c r="F7" s="1">
        <v>2</v>
      </c>
      <c r="G7" s="1">
        <v>4</v>
      </c>
      <c r="H7" s="1">
        <v>1</v>
      </c>
    </row>
    <row r="8" spans="1:10" x14ac:dyDescent="0.3">
      <c r="A8" t="s">
        <v>5</v>
      </c>
      <c r="B8">
        <v>25</v>
      </c>
      <c r="E8" s="1">
        <v>2</v>
      </c>
      <c r="F8" s="1">
        <v>3</v>
      </c>
      <c r="G8" s="1">
        <v>1</v>
      </c>
      <c r="H8" s="1">
        <v>5</v>
      </c>
    </row>
    <row r="9" spans="1:10" x14ac:dyDescent="0.3">
      <c r="A9" t="s">
        <v>6</v>
      </c>
      <c r="B9">
        <v>35</v>
      </c>
      <c r="E9" s="1">
        <v>3</v>
      </c>
      <c r="F9" s="1">
        <v>2</v>
      </c>
      <c r="G9" s="1">
        <v>4</v>
      </c>
      <c r="H9" s="1">
        <v>4</v>
      </c>
    </row>
    <row r="10" spans="1:10" x14ac:dyDescent="0.3">
      <c r="A10" t="s">
        <v>7</v>
      </c>
      <c r="B10">
        <v>20</v>
      </c>
    </row>
    <row r="11" spans="1:10" x14ac:dyDescent="0.3">
      <c r="E11">
        <v>30</v>
      </c>
      <c r="F11">
        <v>25</v>
      </c>
      <c r="G11">
        <v>35</v>
      </c>
      <c r="H11">
        <v>20</v>
      </c>
    </row>
    <row r="12" spans="1:10" x14ac:dyDescent="0.3">
      <c r="A12" t="s">
        <v>17</v>
      </c>
      <c r="J12" t="s">
        <v>207</v>
      </c>
    </row>
    <row r="13" spans="1:10" x14ac:dyDescent="0.3">
      <c r="A13" s="1" t="s">
        <v>18</v>
      </c>
      <c r="B13" s="1" t="s">
        <v>4</v>
      </c>
      <c r="C13" s="1" t="s">
        <v>5</v>
      </c>
      <c r="D13" s="1" t="s">
        <v>6</v>
      </c>
      <c r="E13" s="1" t="s">
        <v>7</v>
      </c>
      <c r="F13" s="3"/>
      <c r="I13" t="s">
        <v>19</v>
      </c>
      <c r="J13">
        <f>SUMPRODUCT(B14:E16,B21:E23)</f>
        <v>190</v>
      </c>
    </row>
    <row r="14" spans="1:10" x14ac:dyDescent="0.3">
      <c r="A14" s="1" t="s">
        <v>1</v>
      </c>
      <c r="B14" s="1">
        <v>3</v>
      </c>
      <c r="C14" s="1">
        <v>2</v>
      </c>
      <c r="D14" s="1">
        <v>4</v>
      </c>
      <c r="E14" s="1">
        <v>1</v>
      </c>
      <c r="F14">
        <v>50</v>
      </c>
    </row>
    <row r="15" spans="1:10" x14ac:dyDescent="0.3">
      <c r="A15" s="1" t="s">
        <v>2</v>
      </c>
      <c r="B15" s="1">
        <v>2</v>
      </c>
      <c r="C15" s="1">
        <v>3</v>
      </c>
      <c r="D15" s="1">
        <v>1</v>
      </c>
      <c r="E15" s="1">
        <v>5</v>
      </c>
      <c r="F15">
        <v>40</v>
      </c>
    </row>
    <row r="16" spans="1:10" x14ac:dyDescent="0.3">
      <c r="A16" s="1" t="s">
        <v>3</v>
      </c>
      <c r="B16" s="1">
        <v>3</v>
      </c>
      <c r="C16" s="1">
        <v>2</v>
      </c>
      <c r="D16" s="1">
        <v>4</v>
      </c>
      <c r="E16" s="1">
        <v>4</v>
      </c>
      <c r="F16">
        <v>20</v>
      </c>
    </row>
    <row r="17" spans="1:6" x14ac:dyDescent="0.3">
      <c r="A17" s="1"/>
      <c r="B17">
        <v>30</v>
      </c>
      <c r="C17">
        <v>25</v>
      </c>
      <c r="D17">
        <v>35</v>
      </c>
      <c r="E17">
        <v>20</v>
      </c>
      <c r="F17" s="4"/>
    </row>
    <row r="20" spans="1:6" x14ac:dyDescent="0.3">
      <c r="A20" s="1" t="s">
        <v>18</v>
      </c>
      <c r="B20" s="1" t="s">
        <v>4</v>
      </c>
      <c r="C20" s="1" t="s">
        <v>5</v>
      </c>
      <c r="D20" s="1" t="s">
        <v>6</v>
      </c>
      <c r="E20" s="1" t="s">
        <v>7</v>
      </c>
      <c r="F20" s="3"/>
    </row>
    <row r="21" spans="1:6" x14ac:dyDescent="0.3">
      <c r="A21" s="1" t="s">
        <v>1</v>
      </c>
      <c r="B21" s="1">
        <v>5</v>
      </c>
      <c r="C21" s="1">
        <v>25</v>
      </c>
      <c r="D21" s="1">
        <v>0</v>
      </c>
      <c r="E21" s="1">
        <v>20</v>
      </c>
      <c r="F21">
        <f>SUM(B21:E21)</f>
        <v>50</v>
      </c>
    </row>
    <row r="22" spans="1:6" x14ac:dyDescent="0.3">
      <c r="A22" s="1" t="s">
        <v>2</v>
      </c>
      <c r="B22" s="1">
        <v>5</v>
      </c>
      <c r="C22" s="1">
        <v>0</v>
      </c>
      <c r="D22" s="1">
        <v>35</v>
      </c>
      <c r="E22" s="1">
        <v>0</v>
      </c>
      <c r="F22">
        <f>SUM(B22:E22)</f>
        <v>40</v>
      </c>
    </row>
    <row r="23" spans="1:6" x14ac:dyDescent="0.3">
      <c r="A23" s="1" t="s">
        <v>3</v>
      </c>
      <c r="B23" s="1">
        <v>20</v>
      </c>
      <c r="C23" s="1">
        <v>0</v>
      </c>
      <c r="D23" s="1">
        <v>0</v>
      </c>
      <c r="E23" s="1">
        <v>0</v>
      </c>
      <c r="F23">
        <f>SUM(B23:E23)</f>
        <v>20</v>
      </c>
    </row>
    <row r="24" spans="1:6" x14ac:dyDescent="0.3">
      <c r="A24" s="1"/>
      <c r="B24">
        <f>SUM(B21:B23)</f>
        <v>30</v>
      </c>
      <c r="C24">
        <f>SUM(C21:C23)</f>
        <v>25</v>
      </c>
      <c r="D24">
        <f>SUM(D21:D23)</f>
        <v>35</v>
      </c>
      <c r="E24">
        <f>SUM(E21:E23)</f>
        <v>20</v>
      </c>
      <c r="F24" s="4"/>
    </row>
  </sheetData>
  <mergeCells count="1">
    <mergeCell ref="E6:H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07B-96C5-405D-A561-43C2F81F6F0E}">
  <dimension ref="A1:G64"/>
  <sheetViews>
    <sheetView showGridLines="0" workbookViewId="0"/>
  </sheetViews>
  <sheetFormatPr defaultRowHeight="14.4" outlineLevelRow="1" x14ac:dyDescent="0.3"/>
  <cols>
    <col min="1" max="1" width="2.33203125" customWidth="1"/>
    <col min="2" max="2" width="26.77734375" bestFit="1" customWidth="1"/>
    <col min="3" max="3" width="15.664062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5" t="s">
        <v>20</v>
      </c>
    </row>
    <row r="2" spans="1:5" x14ac:dyDescent="0.3">
      <c r="A2" s="5" t="s">
        <v>120</v>
      </c>
    </row>
    <row r="3" spans="1:5" x14ac:dyDescent="0.3">
      <c r="A3" s="5" t="s">
        <v>122</v>
      </c>
    </row>
    <row r="4" spans="1:5" x14ac:dyDescent="0.3">
      <c r="A4" s="5" t="s">
        <v>23</v>
      </c>
    </row>
    <row r="5" spans="1:5" x14ac:dyDescent="0.3">
      <c r="A5" s="5" t="s">
        <v>24</v>
      </c>
    </row>
    <row r="6" spans="1:5" hidden="1" outlineLevel="1" x14ac:dyDescent="0.3">
      <c r="A6" s="5"/>
      <c r="B6" t="s">
        <v>25</v>
      </c>
    </row>
    <row r="7" spans="1:5" hidden="1" outlineLevel="1" x14ac:dyDescent="0.3">
      <c r="A7" s="5"/>
      <c r="B7" t="s">
        <v>123</v>
      </c>
    </row>
    <row r="8" spans="1:5" hidden="1" outlineLevel="1" x14ac:dyDescent="0.3">
      <c r="A8" s="5"/>
      <c r="B8" t="s">
        <v>121</v>
      </c>
    </row>
    <row r="9" spans="1:5" collapsed="1" x14ac:dyDescent="0.3">
      <c r="A9" s="5" t="s">
        <v>28</v>
      </c>
    </row>
    <row r="10" spans="1:5" hidden="1" outlineLevel="1" x14ac:dyDescent="0.3">
      <c r="B10" t="s">
        <v>124</v>
      </c>
    </row>
    <row r="11" spans="1:5" hidden="1" outlineLevel="1" x14ac:dyDescent="0.3">
      <c r="B11" t="s">
        <v>125</v>
      </c>
    </row>
    <row r="12" spans="1:5" collapsed="1" x14ac:dyDescent="0.3"/>
    <row r="14" spans="1:5" ht="15" thickBot="1" x14ac:dyDescent="0.35">
      <c r="A14" t="s">
        <v>31</v>
      </c>
    </row>
    <row r="15" spans="1:5" ht="15" thickBot="1" x14ac:dyDescent="0.35">
      <c r="B15" s="7" t="s">
        <v>32</v>
      </c>
      <c r="C15" s="7" t="s">
        <v>33</v>
      </c>
      <c r="D15" s="7" t="s">
        <v>34</v>
      </c>
      <c r="E15" s="7" t="s">
        <v>35</v>
      </c>
    </row>
    <row r="16" spans="1:5" ht="15" thickBot="1" x14ac:dyDescent="0.35">
      <c r="B16" s="6" t="s">
        <v>43</v>
      </c>
      <c r="C16" s="6" t="s">
        <v>19</v>
      </c>
      <c r="D16" s="10">
        <v>7120000</v>
      </c>
      <c r="E16" s="10">
        <v>7120000</v>
      </c>
    </row>
    <row r="19" spans="1:6" ht="15" thickBot="1" x14ac:dyDescent="0.35">
      <c r="A19" t="s">
        <v>36</v>
      </c>
    </row>
    <row r="20" spans="1:6" ht="15" thickBot="1" x14ac:dyDescent="0.35">
      <c r="B20" s="7" t="s">
        <v>32</v>
      </c>
      <c r="C20" s="7" t="s">
        <v>33</v>
      </c>
      <c r="D20" s="7" t="s">
        <v>34</v>
      </c>
      <c r="E20" s="7" t="s">
        <v>35</v>
      </c>
      <c r="F20" s="7" t="s">
        <v>37</v>
      </c>
    </row>
    <row r="21" spans="1:6" x14ac:dyDescent="0.3">
      <c r="B21" s="14" t="s">
        <v>100</v>
      </c>
      <c r="C21" s="13"/>
      <c r="D21" s="13"/>
      <c r="E21" s="13"/>
      <c r="F21" s="13"/>
    </row>
    <row r="22" spans="1:6" hidden="1" outlineLevel="1" x14ac:dyDescent="0.3">
      <c r="B22" s="9" t="s">
        <v>44</v>
      </c>
      <c r="C22" s="9" t="s">
        <v>126</v>
      </c>
      <c r="D22" s="11">
        <v>0</v>
      </c>
      <c r="E22" s="11">
        <v>0</v>
      </c>
      <c r="F22" s="9" t="s">
        <v>37</v>
      </c>
    </row>
    <row r="23" spans="1:6" hidden="1" outlineLevel="1" x14ac:dyDescent="0.3">
      <c r="B23" s="9" t="s">
        <v>46</v>
      </c>
      <c r="C23" s="9" t="s">
        <v>127</v>
      </c>
      <c r="D23" s="11">
        <v>30000</v>
      </c>
      <c r="E23" s="11">
        <v>30000</v>
      </c>
      <c r="F23" s="9" t="s">
        <v>37</v>
      </c>
    </row>
    <row r="24" spans="1:6" hidden="1" outlineLevel="1" x14ac:dyDescent="0.3">
      <c r="B24" s="9" t="s">
        <v>48</v>
      </c>
      <c r="C24" s="9" t="s">
        <v>128</v>
      </c>
      <c r="D24" s="11">
        <v>220000</v>
      </c>
      <c r="E24" s="11">
        <v>220000</v>
      </c>
      <c r="F24" s="9" t="s">
        <v>37</v>
      </c>
    </row>
    <row r="25" spans="1:6" hidden="1" outlineLevel="1" x14ac:dyDescent="0.3">
      <c r="B25" s="9" t="s">
        <v>50</v>
      </c>
      <c r="C25" s="9" t="s">
        <v>129</v>
      </c>
      <c r="D25" s="11">
        <v>0</v>
      </c>
      <c r="E25" s="11">
        <v>0</v>
      </c>
      <c r="F25" s="9" t="s">
        <v>37</v>
      </c>
    </row>
    <row r="26" spans="1:6" hidden="1" outlineLevel="1" x14ac:dyDescent="0.3">
      <c r="B26" s="9" t="s">
        <v>52</v>
      </c>
      <c r="C26" s="9" t="s">
        <v>130</v>
      </c>
      <c r="D26" s="11">
        <v>200000</v>
      </c>
      <c r="E26" s="11">
        <v>200000</v>
      </c>
      <c r="F26" s="9" t="s">
        <v>37</v>
      </c>
    </row>
    <row r="27" spans="1:6" hidden="1" outlineLevel="1" x14ac:dyDescent="0.3">
      <c r="B27" s="9" t="s">
        <v>54</v>
      </c>
      <c r="C27" s="9" t="s">
        <v>131</v>
      </c>
      <c r="D27" s="11">
        <v>0</v>
      </c>
      <c r="E27" s="11">
        <v>0</v>
      </c>
      <c r="F27" s="9" t="s">
        <v>37</v>
      </c>
    </row>
    <row r="28" spans="1:6" hidden="1" outlineLevel="1" x14ac:dyDescent="0.3">
      <c r="B28" s="9" t="s">
        <v>56</v>
      </c>
      <c r="C28" s="9" t="s">
        <v>132</v>
      </c>
      <c r="D28" s="11">
        <v>0</v>
      </c>
      <c r="E28" s="11">
        <v>0</v>
      </c>
      <c r="F28" s="9" t="s">
        <v>37</v>
      </c>
    </row>
    <row r="29" spans="1:6" hidden="1" outlineLevel="1" x14ac:dyDescent="0.3">
      <c r="B29" s="9" t="s">
        <v>58</v>
      </c>
      <c r="C29" s="9" t="s">
        <v>133</v>
      </c>
      <c r="D29" s="11">
        <v>0</v>
      </c>
      <c r="E29" s="11">
        <v>0</v>
      </c>
      <c r="F29" s="9" t="s">
        <v>37</v>
      </c>
    </row>
    <row r="30" spans="1:6" hidden="1" outlineLevel="1" x14ac:dyDescent="0.3">
      <c r="B30" s="9" t="s">
        <v>60</v>
      </c>
      <c r="C30" s="9" t="s">
        <v>134</v>
      </c>
      <c r="D30" s="11">
        <v>0</v>
      </c>
      <c r="E30" s="11">
        <v>0</v>
      </c>
      <c r="F30" s="9" t="s">
        <v>37</v>
      </c>
    </row>
    <row r="31" spans="1:6" hidden="1" outlineLevel="1" x14ac:dyDescent="0.3">
      <c r="B31" s="9" t="s">
        <v>62</v>
      </c>
      <c r="C31" s="9" t="s">
        <v>135</v>
      </c>
      <c r="D31" s="11">
        <v>120000</v>
      </c>
      <c r="E31" s="11">
        <v>120000</v>
      </c>
      <c r="F31" s="9" t="s">
        <v>37</v>
      </c>
    </row>
    <row r="32" spans="1:6" hidden="1" outlineLevel="1" x14ac:dyDescent="0.3">
      <c r="B32" s="9" t="s">
        <v>64</v>
      </c>
      <c r="C32" s="9" t="s">
        <v>136</v>
      </c>
      <c r="D32" s="11">
        <v>0</v>
      </c>
      <c r="E32" s="11">
        <v>0</v>
      </c>
      <c r="F32" s="9" t="s">
        <v>37</v>
      </c>
    </row>
    <row r="33" spans="1:7" ht="15" hidden="1" outlineLevel="1" thickBot="1" x14ac:dyDescent="0.35">
      <c r="B33" s="6" t="s">
        <v>66</v>
      </c>
      <c r="C33" s="6" t="s">
        <v>137</v>
      </c>
      <c r="D33" s="10">
        <v>120000</v>
      </c>
      <c r="E33" s="10">
        <v>120000</v>
      </c>
      <c r="F33" s="6" t="s">
        <v>37</v>
      </c>
    </row>
    <row r="34" spans="1:7" collapsed="1" x14ac:dyDescent="0.3">
      <c r="B34" s="8"/>
      <c r="C34" s="8"/>
      <c r="D34" s="12"/>
      <c r="E34" s="12"/>
      <c r="F34" s="8"/>
    </row>
    <row r="37" spans="1:7" ht="15" thickBot="1" x14ac:dyDescent="0.35">
      <c r="A37" t="s">
        <v>38</v>
      </c>
    </row>
    <row r="38" spans="1:7" ht="15" thickBot="1" x14ac:dyDescent="0.35">
      <c r="B38" s="7" t="s">
        <v>32</v>
      </c>
      <c r="C38" s="7" t="s">
        <v>33</v>
      </c>
      <c r="D38" s="7" t="s">
        <v>39</v>
      </c>
      <c r="E38" s="7" t="s">
        <v>40</v>
      </c>
      <c r="F38" s="7" t="s">
        <v>41</v>
      </c>
      <c r="G38" s="7" t="s">
        <v>42</v>
      </c>
    </row>
    <row r="39" spans="1:7" x14ac:dyDescent="0.3">
      <c r="B39" s="14" t="s">
        <v>101</v>
      </c>
      <c r="C39" s="13"/>
      <c r="D39" s="13"/>
      <c r="E39" s="13"/>
      <c r="F39" s="13"/>
      <c r="G39" s="13"/>
    </row>
    <row r="40" spans="1:7" hidden="1" outlineLevel="1" x14ac:dyDescent="0.3">
      <c r="B40" s="9" t="s">
        <v>68</v>
      </c>
      <c r="C40" s="9" t="s">
        <v>112</v>
      </c>
      <c r="D40" s="11">
        <v>200000</v>
      </c>
      <c r="E40" s="9" t="s">
        <v>69</v>
      </c>
      <c r="F40" s="9" t="s">
        <v>70</v>
      </c>
      <c r="G40" s="9">
        <v>0</v>
      </c>
    </row>
    <row r="41" spans="1:7" hidden="1" outlineLevel="1" x14ac:dyDescent="0.3">
      <c r="B41" s="9" t="s">
        <v>71</v>
      </c>
      <c r="C41" s="9" t="s">
        <v>110</v>
      </c>
      <c r="D41" s="11">
        <v>150000</v>
      </c>
      <c r="E41" s="9" t="s">
        <v>72</v>
      </c>
      <c r="F41" s="9" t="s">
        <v>70</v>
      </c>
      <c r="G41" s="9">
        <v>0</v>
      </c>
    </row>
    <row r="42" spans="1:7" hidden="1" outlineLevel="1" x14ac:dyDescent="0.3">
      <c r="B42" s="9" t="s">
        <v>73</v>
      </c>
      <c r="C42" s="9" t="s">
        <v>109</v>
      </c>
      <c r="D42" s="11">
        <v>220000</v>
      </c>
      <c r="E42" s="9" t="s">
        <v>74</v>
      </c>
      <c r="F42" s="9" t="s">
        <v>70</v>
      </c>
      <c r="G42" s="9">
        <v>0</v>
      </c>
    </row>
    <row r="43" spans="1:7" hidden="1" outlineLevel="1" x14ac:dyDescent="0.3">
      <c r="B43" s="9" t="s">
        <v>75</v>
      </c>
      <c r="C43" s="9" t="s">
        <v>111</v>
      </c>
      <c r="D43" s="11">
        <v>120000</v>
      </c>
      <c r="E43" s="9" t="s">
        <v>76</v>
      </c>
      <c r="F43" s="9" t="s">
        <v>70</v>
      </c>
      <c r="G43" s="9">
        <v>0</v>
      </c>
    </row>
    <row r="44" spans="1:7" collapsed="1" x14ac:dyDescent="0.3">
      <c r="B44" s="9"/>
      <c r="C44" s="9"/>
      <c r="D44" s="11"/>
      <c r="E44" s="9"/>
      <c r="F44" s="9"/>
      <c r="G44" s="9"/>
    </row>
    <row r="45" spans="1:7" x14ac:dyDescent="0.3">
      <c r="B45" s="15" t="s">
        <v>102</v>
      </c>
      <c r="C45" s="9"/>
      <c r="D45" s="11"/>
      <c r="E45" s="9"/>
      <c r="F45" s="9"/>
      <c r="G45" s="9"/>
    </row>
    <row r="46" spans="1:7" hidden="1" outlineLevel="1" x14ac:dyDescent="0.3">
      <c r="B46" s="9" t="s">
        <v>77</v>
      </c>
      <c r="C46" s="9" t="s">
        <v>138</v>
      </c>
      <c r="D46" s="11">
        <v>250000</v>
      </c>
      <c r="E46" s="9" t="s">
        <v>79</v>
      </c>
      <c r="F46" s="9" t="s">
        <v>70</v>
      </c>
      <c r="G46" s="9">
        <v>0</v>
      </c>
    </row>
    <row r="47" spans="1:7" hidden="1" outlineLevel="1" x14ac:dyDescent="0.3">
      <c r="B47" s="9" t="s">
        <v>80</v>
      </c>
      <c r="C47" s="9" t="s">
        <v>139</v>
      </c>
      <c r="D47" s="11">
        <v>200000</v>
      </c>
      <c r="E47" s="9" t="s">
        <v>82</v>
      </c>
      <c r="F47" s="9" t="s">
        <v>70</v>
      </c>
      <c r="G47" s="9">
        <v>0</v>
      </c>
    </row>
    <row r="48" spans="1:7" hidden="1" outlineLevel="1" x14ac:dyDescent="0.3">
      <c r="B48" s="9" t="s">
        <v>83</v>
      </c>
      <c r="C48" s="9" t="s">
        <v>140</v>
      </c>
      <c r="D48" s="11">
        <v>240000</v>
      </c>
      <c r="E48" s="9" t="s">
        <v>85</v>
      </c>
      <c r="F48" s="9" t="s">
        <v>70</v>
      </c>
      <c r="G48" s="9">
        <v>0</v>
      </c>
    </row>
    <row r="49" spans="2:7" collapsed="1" x14ac:dyDescent="0.3">
      <c r="B49" s="9"/>
      <c r="C49" s="9"/>
      <c r="D49" s="11"/>
      <c r="E49" s="9"/>
      <c r="F49" s="9"/>
      <c r="G49" s="9"/>
    </row>
    <row r="50" spans="2:7" x14ac:dyDescent="0.3">
      <c r="B50" s="15" t="s">
        <v>103</v>
      </c>
      <c r="C50" s="9"/>
      <c r="D50" s="11"/>
      <c r="E50" s="9"/>
      <c r="F50" s="9"/>
      <c r="G50" s="9"/>
    </row>
    <row r="51" spans="2:7" hidden="1" outlineLevel="1" x14ac:dyDescent="0.3">
      <c r="B51" s="9" t="s">
        <v>44</v>
      </c>
      <c r="C51" s="9" t="s">
        <v>126</v>
      </c>
      <c r="D51" s="11">
        <v>0</v>
      </c>
      <c r="E51" s="9" t="s">
        <v>86</v>
      </c>
      <c r="F51" s="9" t="s">
        <v>70</v>
      </c>
      <c r="G51" s="11">
        <v>0</v>
      </c>
    </row>
    <row r="52" spans="2:7" hidden="1" outlineLevel="1" x14ac:dyDescent="0.3">
      <c r="B52" s="9" t="s">
        <v>46</v>
      </c>
      <c r="C52" s="9" t="s">
        <v>127</v>
      </c>
      <c r="D52" s="11">
        <v>30000</v>
      </c>
      <c r="E52" s="9" t="s">
        <v>88</v>
      </c>
      <c r="F52" s="9" t="s">
        <v>87</v>
      </c>
      <c r="G52" s="11">
        <v>30000</v>
      </c>
    </row>
    <row r="53" spans="2:7" hidden="1" outlineLevel="1" x14ac:dyDescent="0.3">
      <c r="B53" s="9" t="s">
        <v>48</v>
      </c>
      <c r="C53" s="9" t="s">
        <v>128</v>
      </c>
      <c r="D53" s="11">
        <v>220000</v>
      </c>
      <c r="E53" s="9" t="s">
        <v>89</v>
      </c>
      <c r="F53" s="9" t="s">
        <v>87</v>
      </c>
      <c r="G53" s="11">
        <v>220000</v>
      </c>
    </row>
    <row r="54" spans="2:7" hidden="1" outlineLevel="1" x14ac:dyDescent="0.3">
      <c r="B54" s="9" t="s">
        <v>50</v>
      </c>
      <c r="C54" s="9" t="s">
        <v>129</v>
      </c>
      <c r="D54" s="11">
        <v>0</v>
      </c>
      <c r="E54" s="9" t="s">
        <v>90</v>
      </c>
      <c r="F54" s="9" t="s">
        <v>70</v>
      </c>
      <c r="G54" s="11">
        <v>0</v>
      </c>
    </row>
    <row r="55" spans="2:7" hidden="1" outlineLevel="1" x14ac:dyDescent="0.3">
      <c r="B55" s="9" t="s">
        <v>52</v>
      </c>
      <c r="C55" s="9" t="s">
        <v>130</v>
      </c>
      <c r="D55" s="11">
        <v>200000</v>
      </c>
      <c r="E55" s="9" t="s">
        <v>91</v>
      </c>
      <c r="F55" s="9" t="s">
        <v>87</v>
      </c>
      <c r="G55" s="11">
        <v>200000</v>
      </c>
    </row>
    <row r="56" spans="2:7" hidden="1" outlineLevel="1" x14ac:dyDescent="0.3">
      <c r="B56" s="9" t="s">
        <v>54</v>
      </c>
      <c r="C56" s="9" t="s">
        <v>131</v>
      </c>
      <c r="D56" s="11">
        <v>0</v>
      </c>
      <c r="E56" s="9" t="s">
        <v>92</v>
      </c>
      <c r="F56" s="9" t="s">
        <v>70</v>
      </c>
      <c r="G56" s="11">
        <v>0</v>
      </c>
    </row>
    <row r="57" spans="2:7" hidden="1" outlineLevel="1" x14ac:dyDescent="0.3">
      <c r="B57" s="9" t="s">
        <v>56</v>
      </c>
      <c r="C57" s="9" t="s">
        <v>132</v>
      </c>
      <c r="D57" s="11">
        <v>0</v>
      </c>
      <c r="E57" s="9" t="s">
        <v>93</v>
      </c>
      <c r="F57" s="9" t="s">
        <v>70</v>
      </c>
      <c r="G57" s="11">
        <v>0</v>
      </c>
    </row>
    <row r="58" spans="2:7" hidden="1" outlineLevel="1" x14ac:dyDescent="0.3">
      <c r="B58" s="9" t="s">
        <v>58</v>
      </c>
      <c r="C58" s="9" t="s">
        <v>133</v>
      </c>
      <c r="D58" s="11">
        <v>0</v>
      </c>
      <c r="E58" s="9" t="s">
        <v>94</v>
      </c>
      <c r="F58" s="9" t="s">
        <v>70</v>
      </c>
      <c r="G58" s="11">
        <v>0</v>
      </c>
    </row>
    <row r="59" spans="2:7" hidden="1" outlineLevel="1" x14ac:dyDescent="0.3">
      <c r="B59" s="9" t="s">
        <v>60</v>
      </c>
      <c r="C59" s="9" t="s">
        <v>134</v>
      </c>
      <c r="D59" s="11">
        <v>0</v>
      </c>
      <c r="E59" s="9" t="s">
        <v>95</v>
      </c>
      <c r="F59" s="9" t="s">
        <v>70</v>
      </c>
      <c r="G59" s="11">
        <v>0</v>
      </c>
    </row>
    <row r="60" spans="2:7" hidden="1" outlineLevel="1" x14ac:dyDescent="0.3">
      <c r="B60" s="9" t="s">
        <v>62</v>
      </c>
      <c r="C60" s="9" t="s">
        <v>135</v>
      </c>
      <c r="D60" s="11">
        <v>120000</v>
      </c>
      <c r="E60" s="9" t="s">
        <v>96</v>
      </c>
      <c r="F60" s="9" t="s">
        <v>87</v>
      </c>
      <c r="G60" s="11">
        <v>120000</v>
      </c>
    </row>
    <row r="61" spans="2:7" hidden="1" outlineLevel="1" x14ac:dyDescent="0.3">
      <c r="B61" s="9" t="s">
        <v>64</v>
      </c>
      <c r="C61" s="9" t="s">
        <v>136</v>
      </c>
      <c r="D61" s="11">
        <v>0</v>
      </c>
      <c r="E61" s="9" t="s">
        <v>97</v>
      </c>
      <c r="F61" s="9" t="s">
        <v>70</v>
      </c>
      <c r="G61" s="11">
        <v>0</v>
      </c>
    </row>
    <row r="62" spans="2:7" hidden="1" outlineLevel="1" x14ac:dyDescent="0.3">
      <c r="B62" s="9" t="s">
        <v>66</v>
      </c>
      <c r="C62" s="9" t="s">
        <v>137</v>
      </c>
      <c r="D62" s="11">
        <v>120000</v>
      </c>
      <c r="E62" s="9" t="s">
        <v>98</v>
      </c>
      <c r="F62" s="9" t="s">
        <v>87</v>
      </c>
      <c r="G62" s="11">
        <v>120000</v>
      </c>
    </row>
    <row r="63" spans="2:7" collapsed="1" x14ac:dyDescent="0.3">
      <c r="B63" s="9"/>
      <c r="C63" s="9"/>
      <c r="D63" s="11"/>
      <c r="E63" s="9"/>
      <c r="F63" s="9"/>
      <c r="G63" s="11"/>
    </row>
    <row r="64" spans="2:7" ht="15" thickBot="1" x14ac:dyDescent="0.35">
      <c r="B64" s="6" t="s">
        <v>99</v>
      </c>
      <c r="C64" s="6"/>
      <c r="D64" s="6"/>
      <c r="E64" s="6"/>
      <c r="F64" s="6"/>
      <c r="G6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DA61-7600-4149-9239-0476C7501262}">
  <dimension ref="A1:J24"/>
  <sheetViews>
    <sheetView tabSelected="1" topLeftCell="A5" workbookViewId="0">
      <selection activeCell="J12" sqref="J12"/>
    </sheetView>
  </sheetViews>
  <sheetFormatPr defaultRowHeight="14.4" x14ac:dyDescent="0.3"/>
  <cols>
    <col min="4" max="4" width="9.77734375" customWidth="1"/>
    <col min="10" max="10" width="10.44140625" bestFit="1" customWidth="1"/>
  </cols>
  <sheetData>
    <row r="1" spans="1:10" x14ac:dyDescent="0.3">
      <c r="A1">
        <v>2</v>
      </c>
    </row>
    <row r="2" spans="1:10" ht="28.8" x14ac:dyDescent="0.3">
      <c r="A2" t="s">
        <v>107</v>
      </c>
      <c r="E2" s="16" t="s">
        <v>116</v>
      </c>
      <c r="F2" s="16" t="s">
        <v>117</v>
      </c>
      <c r="G2" s="16" t="s">
        <v>118</v>
      </c>
      <c r="H2" s="16" t="s">
        <v>119</v>
      </c>
    </row>
    <row r="3" spans="1:10" x14ac:dyDescent="0.3">
      <c r="A3" t="s">
        <v>104</v>
      </c>
      <c r="B3">
        <v>250000</v>
      </c>
      <c r="D3" s="1" t="s">
        <v>113</v>
      </c>
      <c r="E3" s="2">
        <v>10</v>
      </c>
      <c r="F3" s="2">
        <v>20</v>
      </c>
      <c r="G3" s="2">
        <v>8</v>
      </c>
      <c r="H3" s="2">
        <v>15</v>
      </c>
    </row>
    <row r="4" spans="1:10" x14ac:dyDescent="0.3">
      <c r="A4" t="s">
        <v>105</v>
      </c>
      <c r="B4">
        <v>200000</v>
      </c>
      <c r="D4" s="1" t="s">
        <v>114</v>
      </c>
      <c r="E4" s="2">
        <v>7</v>
      </c>
      <c r="F4" s="2">
        <v>25</v>
      </c>
      <c r="G4" s="2">
        <v>11</v>
      </c>
      <c r="H4" s="2">
        <v>17</v>
      </c>
    </row>
    <row r="5" spans="1:10" x14ac:dyDescent="0.3">
      <c r="A5" t="s">
        <v>106</v>
      </c>
      <c r="B5">
        <v>240000</v>
      </c>
      <c r="D5" s="1" t="s">
        <v>115</v>
      </c>
      <c r="E5" s="2">
        <v>6</v>
      </c>
      <c r="F5" s="2">
        <v>18</v>
      </c>
      <c r="G5" s="2">
        <v>12</v>
      </c>
      <c r="H5" s="2">
        <v>10</v>
      </c>
    </row>
    <row r="6" spans="1:10" x14ac:dyDescent="0.3">
      <c r="A6" t="s">
        <v>108</v>
      </c>
      <c r="E6" s="28" t="s">
        <v>16</v>
      </c>
      <c r="F6" s="28"/>
      <c r="G6" s="28"/>
      <c r="H6" s="28"/>
    </row>
    <row r="7" spans="1:10" x14ac:dyDescent="0.3">
      <c r="A7" t="s">
        <v>112</v>
      </c>
      <c r="B7">
        <v>200000</v>
      </c>
      <c r="E7" s="1">
        <v>10</v>
      </c>
      <c r="F7" s="1">
        <v>20</v>
      </c>
      <c r="G7" s="1">
        <v>8</v>
      </c>
      <c r="H7" s="1">
        <v>15</v>
      </c>
    </row>
    <row r="8" spans="1:10" x14ac:dyDescent="0.3">
      <c r="A8" t="s">
        <v>110</v>
      </c>
      <c r="B8">
        <v>150000</v>
      </c>
      <c r="E8" s="1">
        <v>7</v>
      </c>
      <c r="F8" s="1">
        <v>25</v>
      </c>
      <c r="G8" s="1">
        <v>11</v>
      </c>
      <c r="H8" s="1">
        <v>17</v>
      </c>
    </row>
    <row r="9" spans="1:10" x14ac:dyDescent="0.3">
      <c r="A9" t="s">
        <v>109</v>
      </c>
      <c r="B9">
        <v>220000</v>
      </c>
      <c r="E9" s="1">
        <v>6</v>
      </c>
      <c r="F9" s="1">
        <v>18</v>
      </c>
      <c r="G9" s="1">
        <v>12</v>
      </c>
      <c r="H9" s="1">
        <v>10</v>
      </c>
    </row>
    <row r="10" spans="1:10" x14ac:dyDescent="0.3">
      <c r="A10" t="s">
        <v>111</v>
      </c>
      <c r="B10">
        <v>120000</v>
      </c>
    </row>
    <row r="11" spans="1:10" x14ac:dyDescent="0.3">
      <c r="E11">
        <f t="array" ref="E11:H11">TRANSPOSE(B7:B10)</f>
        <v>200000</v>
      </c>
      <c r="F11">
        <v>150000</v>
      </c>
      <c r="G11">
        <v>220000</v>
      </c>
      <c r="H11">
        <v>120000</v>
      </c>
    </row>
    <row r="12" spans="1:10" x14ac:dyDescent="0.3">
      <c r="A12" t="s">
        <v>17</v>
      </c>
      <c r="J12" t="s">
        <v>207</v>
      </c>
    </row>
    <row r="13" spans="1:10" x14ac:dyDescent="0.3">
      <c r="A13" s="1" t="s">
        <v>18</v>
      </c>
      <c r="B13" s="1" t="str">
        <f t="array" ref="B13:E13">TRANSPOSE(A7:A10)</f>
        <v>ПМС-1</v>
      </c>
      <c r="C13" s="1" t="str">
        <v>ПМС-2</v>
      </c>
      <c r="D13" s="1" t="str">
        <v>ПМС-3</v>
      </c>
      <c r="E13" s="1" t="str">
        <v>ПМС-4</v>
      </c>
      <c r="F13" s="3"/>
      <c r="I13" t="s">
        <v>19</v>
      </c>
      <c r="J13" s="17">
        <f>SUMPRODUCT(B14:E16,B21:E23)</f>
        <v>7120000</v>
      </c>
    </row>
    <row r="14" spans="1:10" x14ac:dyDescent="0.3">
      <c r="A14" t="s">
        <v>104</v>
      </c>
      <c r="B14" s="1">
        <v>10</v>
      </c>
      <c r="C14" s="1">
        <v>20</v>
      </c>
      <c r="D14" s="1">
        <v>8</v>
      </c>
      <c r="E14" s="1">
        <v>15</v>
      </c>
      <c r="F14">
        <v>250000</v>
      </c>
    </row>
    <row r="15" spans="1:10" x14ac:dyDescent="0.3">
      <c r="A15" t="s">
        <v>105</v>
      </c>
      <c r="B15" s="1">
        <v>7</v>
      </c>
      <c r="C15" s="1">
        <v>25</v>
      </c>
      <c r="D15" s="1">
        <v>11</v>
      </c>
      <c r="E15" s="1">
        <v>17</v>
      </c>
      <c r="F15">
        <v>200000</v>
      </c>
    </row>
    <row r="16" spans="1:10" x14ac:dyDescent="0.3">
      <c r="A16" t="s">
        <v>106</v>
      </c>
      <c r="B16" s="1">
        <v>6</v>
      </c>
      <c r="C16" s="1">
        <v>18</v>
      </c>
      <c r="D16" s="1">
        <v>12</v>
      </c>
      <c r="E16" s="1">
        <v>10</v>
      </c>
      <c r="F16">
        <v>240000</v>
      </c>
    </row>
    <row r="17" spans="1:6" x14ac:dyDescent="0.3">
      <c r="A17" s="1"/>
      <c r="B17">
        <f t="array" ref="B17:E17">TRANSPOSE(B7:B10)</f>
        <v>200000</v>
      </c>
      <c r="C17">
        <v>150000</v>
      </c>
      <c r="D17">
        <v>220000</v>
      </c>
      <c r="E17">
        <v>120000</v>
      </c>
    </row>
    <row r="20" spans="1:6" x14ac:dyDescent="0.3">
      <c r="A20" s="1" t="s">
        <v>18</v>
      </c>
      <c r="B20" s="1" t="str">
        <f t="array" ref="B20:E20">TRANSPOSE(A7:A10)</f>
        <v>ПМС-1</v>
      </c>
      <c r="C20" s="1" t="str">
        <v>ПМС-2</v>
      </c>
      <c r="D20" s="1" t="str">
        <v>ПМС-3</v>
      </c>
      <c r="E20" s="1" t="str">
        <v>ПМС-4</v>
      </c>
      <c r="F20" s="3"/>
    </row>
    <row r="21" spans="1:6" x14ac:dyDescent="0.3">
      <c r="A21" t="s">
        <v>104</v>
      </c>
      <c r="B21" s="1">
        <v>0</v>
      </c>
      <c r="C21" s="1">
        <v>30000</v>
      </c>
      <c r="D21" s="1">
        <v>220000</v>
      </c>
      <c r="E21" s="1">
        <v>0</v>
      </c>
      <c r="F21">
        <f>SUM(B21:E21)</f>
        <v>250000</v>
      </c>
    </row>
    <row r="22" spans="1:6" x14ac:dyDescent="0.3">
      <c r="A22" t="s">
        <v>105</v>
      </c>
      <c r="B22" s="1">
        <v>200000</v>
      </c>
      <c r="C22" s="1">
        <v>0</v>
      </c>
      <c r="D22" s="1">
        <v>0</v>
      </c>
      <c r="E22" s="1">
        <v>0</v>
      </c>
      <c r="F22">
        <f>SUM(B22:E22)</f>
        <v>200000</v>
      </c>
    </row>
    <row r="23" spans="1:6" x14ac:dyDescent="0.3">
      <c r="A23" t="s">
        <v>106</v>
      </c>
      <c r="B23" s="1">
        <v>0</v>
      </c>
      <c r="C23" s="1">
        <v>120000</v>
      </c>
      <c r="D23" s="1">
        <v>0</v>
      </c>
      <c r="E23" s="1">
        <v>120000</v>
      </c>
      <c r="F23">
        <f>SUM(B23:E23)</f>
        <v>240000</v>
      </c>
    </row>
    <row r="24" spans="1:6" x14ac:dyDescent="0.3">
      <c r="A24" s="1"/>
      <c r="B24">
        <f>SUM(B21:B23)</f>
        <v>200000</v>
      </c>
      <c r="C24">
        <f>SUM(C21:C23)</f>
        <v>150000</v>
      </c>
      <c r="D24">
        <f>SUM(D21:D23)</f>
        <v>220000</v>
      </c>
      <c r="E24">
        <f>SUM(E21:E23)</f>
        <v>120000</v>
      </c>
      <c r="F24" s="4"/>
    </row>
  </sheetData>
  <mergeCells count="1">
    <mergeCell ref="E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8B01-C969-4C6D-B512-F08216CECD83}">
  <dimension ref="A1:J26"/>
  <sheetViews>
    <sheetView workbookViewId="0">
      <selection activeCell="K14" sqref="K14"/>
    </sheetView>
  </sheetViews>
  <sheetFormatPr defaultRowHeight="14.4" x14ac:dyDescent="0.3"/>
  <cols>
    <col min="4" max="4" width="9.6640625" customWidth="1"/>
    <col min="7" max="7" width="6.88671875" customWidth="1"/>
    <col min="9" max="9" width="7.109375" customWidth="1"/>
    <col min="10" max="10" width="17.6640625" customWidth="1"/>
  </cols>
  <sheetData>
    <row r="1" spans="1:10" x14ac:dyDescent="0.3">
      <c r="A1">
        <v>3</v>
      </c>
    </row>
    <row r="2" spans="1:10" ht="28.8" x14ac:dyDescent="0.3">
      <c r="A2" t="s">
        <v>141</v>
      </c>
      <c r="E2" s="16" t="s">
        <v>148</v>
      </c>
      <c r="F2" s="16" t="s">
        <v>149</v>
      </c>
      <c r="G2" s="16" t="s">
        <v>150</v>
      </c>
      <c r="H2" s="16" t="s">
        <v>151</v>
      </c>
      <c r="I2" s="16" t="s">
        <v>153</v>
      </c>
      <c r="J2" s="16" t="s">
        <v>152</v>
      </c>
    </row>
    <row r="3" spans="1:10" x14ac:dyDescent="0.3">
      <c r="A3" t="s">
        <v>1</v>
      </c>
      <c r="B3">
        <v>250000</v>
      </c>
      <c r="D3" s="1" t="s">
        <v>145</v>
      </c>
      <c r="E3" s="2">
        <v>10</v>
      </c>
      <c r="F3" s="2">
        <v>12</v>
      </c>
      <c r="G3" s="2">
        <v>14</v>
      </c>
      <c r="H3" s="2">
        <v>16</v>
      </c>
      <c r="I3" s="2">
        <v>18</v>
      </c>
      <c r="J3" s="2">
        <v>20</v>
      </c>
    </row>
    <row r="4" spans="1:10" x14ac:dyDescent="0.3">
      <c r="A4" t="s">
        <v>2</v>
      </c>
      <c r="B4">
        <v>300000</v>
      </c>
      <c r="D4" s="1" t="s">
        <v>146</v>
      </c>
      <c r="E4" s="2">
        <v>24</v>
      </c>
      <c r="F4" s="2">
        <v>22</v>
      </c>
      <c r="G4" s="2">
        <v>20</v>
      </c>
      <c r="H4" s="2">
        <v>20</v>
      </c>
      <c r="I4" s="2">
        <v>16</v>
      </c>
      <c r="J4" s="2">
        <v>14</v>
      </c>
    </row>
    <row r="5" spans="1:10" x14ac:dyDescent="0.3">
      <c r="A5" t="s">
        <v>3</v>
      </c>
      <c r="B5">
        <v>350000</v>
      </c>
      <c r="D5" s="1" t="s">
        <v>147</v>
      </c>
      <c r="E5" s="2">
        <v>30</v>
      </c>
      <c r="F5" s="2">
        <v>28</v>
      </c>
      <c r="G5" s="2">
        <v>26</v>
      </c>
      <c r="H5" s="2">
        <v>28</v>
      </c>
      <c r="I5" s="2">
        <v>30</v>
      </c>
      <c r="J5" s="2">
        <v>32</v>
      </c>
    </row>
    <row r="6" spans="1:10" x14ac:dyDescent="0.3">
      <c r="A6" t="s">
        <v>142</v>
      </c>
    </row>
    <row r="7" spans="1:10" x14ac:dyDescent="0.3">
      <c r="A7" t="s">
        <v>4</v>
      </c>
      <c r="B7">
        <v>100000</v>
      </c>
    </row>
    <row r="8" spans="1:10" x14ac:dyDescent="0.3">
      <c r="A8" t="s">
        <v>5</v>
      </c>
      <c r="B8">
        <v>200000</v>
      </c>
    </row>
    <row r="9" spans="1:10" x14ac:dyDescent="0.3">
      <c r="A9" t="s">
        <v>6</v>
      </c>
      <c r="B9">
        <v>20000</v>
      </c>
    </row>
    <row r="10" spans="1:10" x14ac:dyDescent="0.3">
      <c r="A10" t="s">
        <v>7</v>
      </c>
      <c r="B10">
        <v>180000</v>
      </c>
    </row>
    <row r="11" spans="1:10" x14ac:dyDescent="0.3">
      <c r="A11" t="s">
        <v>143</v>
      </c>
      <c r="B11">
        <v>50000</v>
      </c>
    </row>
    <row r="12" spans="1:10" x14ac:dyDescent="0.3">
      <c r="A12" t="s">
        <v>144</v>
      </c>
      <c r="B12">
        <v>150000</v>
      </c>
    </row>
    <row r="14" spans="1:10" x14ac:dyDescent="0.3">
      <c r="A14" t="s">
        <v>17</v>
      </c>
    </row>
    <row r="15" spans="1:10" x14ac:dyDescent="0.3">
      <c r="A15" s="1" t="s">
        <v>18</v>
      </c>
      <c r="B15" s="1" t="s">
        <v>4</v>
      </c>
      <c r="C15" s="1" t="s">
        <v>5</v>
      </c>
      <c r="D15" s="1" t="s">
        <v>6</v>
      </c>
      <c r="E15" s="1" t="s">
        <v>7</v>
      </c>
      <c r="F15" s="1" t="s">
        <v>143</v>
      </c>
      <c r="G15" s="1" t="s">
        <v>144</v>
      </c>
      <c r="I15" s="18" t="s">
        <v>19</v>
      </c>
      <c r="J15" s="19">
        <f>SUMPRODUCT(B16:G18,B23:G25)</f>
        <v>15460000</v>
      </c>
    </row>
    <row r="16" spans="1:10" x14ac:dyDescent="0.3">
      <c r="A16" t="s">
        <v>1</v>
      </c>
      <c r="B16" s="1">
        <v>10</v>
      </c>
      <c r="C16" s="1">
        <v>12</v>
      </c>
      <c r="D16" s="1">
        <v>14</v>
      </c>
      <c r="E16" s="1">
        <v>16</v>
      </c>
      <c r="F16" s="1">
        <v>18</v>
      </c>
      <c r="G16" s="1">
        <v>20</v>
      </c>
      <c r="H16">
        <v>250000</v>
      </c>
    </row>
    <row r="17" spans="1:8" x14ac:dyDescent="0.3">
      <c r="A17" t="s">
        <v>2</v>
      </c>
      <c r="B17" s="1">
        <v>24</v>
      </c>
      <c r="C17" s="1">
        <v>22</v>
      </c>
      <c r="D17" s="1">
        <v>20</v>
      </c>
      <c r="E17" s="1">
        <v>20</v>
      </c>
      <c r="F17" s="1">
        <v>16</v>
      </c>
      <c r="G17" s="1">
        <v>14</v>
      </c>
      <c r="H17">
        <v>300000</v>
      </c>
    </row>
    <row r="18" spans="1:8" x14ac:dyDescent="0.3">
      <c r="A18" t="s">
        <v>3</v>
      </c>
      <c r="B18" s="1">
        <v>30</v>
      </c>
      <c r="C18" s="1">
        <v>28</v>
      </c>
      <c r="D18" s="1">
        <v>26</v>
      </c>
      <c r="E18" s="1">
        <v>28</v>
      </c>
      <c r="F18" s="1">
        <v>30</v>
      </c>
      <c r="G18" s="1">
        <v>32</v>
      </c>
      <c r="H18">
        <v>350000</v>
      </c>
    </row>
    <row r="19" spans="1:8" x14ac:dyDescent="0.3">
      <c r="A19" s="1"/>
      <c r="B19" s="20">
        <v>100000</v>
      </c>
      <c r="C19" s="20">
        <v>200000</v>
      </c>
      <c r="D19" s="20">
        <v>20000</v>
      </c>
      <c r="E19" s="20">
        <v>180000</v>
      </c>
      <c r="F19" s="20">
        <v>50000</v>
      </c>
      <c r="G19" s="20">
        <v>150000</v>
      </c>
    </row>
    <row r="22" spans="1:8" x14ac:dyDescent="0.3">
      <c r="A22" s="1" t="s">
        <v>18</v>
      </c>
      <c r="B22" s="1" t="s">
        <v>4</v>
      </c>
      <c r="C22" s="1" t="s">
        <v>5</v>
      </c>
      <c r="D22" s="1" t="s">
        <v>6</v>
      </c>
      <c r="E22" s="1" t="s">
        <v>7</v>
      </c>
      <c r="F22" s="1" t="s">
        <v>143</v>
      </c>
      <c r="G22" s="1" t="s">
        <v>144</v>
      </c>
    </row>
    <row r="23" spans="1:8" x14ac:dyDescent="0.3">
      <c r="A23" t="s">
        <v>1</v>
      </c>
      <c r="B23" s="1">
        <v>30000</v>
      </c>
      <c r="C23" s="1">
        <v>200000</v>
      </c>
      <c r="D23" s="1">
        <v>20000</v>
      </c>
      <c r="E23" s="1">
        <v>0</v>
      </c>
      <c r="F23">
        <v>0</v>
      </c>
      <c r="G23">
        <v>0</v>
      </c>
      <c r="H23">
        <f>SUM(B23:G23)</f>
        <v>250000</v>
      </c>
    </row>
    <row r="24" spans="1:8" x14ac:dyDescent="0.3">
      <c r="A24" t="s">
        <v>2</v>
      </c>
      <c r="B24" s="1">
        <v>70000</v>
      </c>
      <c r="C24" s="1">
        <v>0</v>
      </c>
      <c r="D24" s="1">
        <v>0</v>
      </c>
      <c r="E24" s="1">
        <v>0</v>
      </c>
      <c r="F24">
        <v>0</v>
      </c>
      <c r="G24">
        <v>30000</v>
      </c>
      <c r="H24">
        <f>SUM(B24:G24)</f>
        <v>100000</v>
      </c>
    </row>
    <row r="25" spans="1:8" x14ac:dyDescent="0.3">
      <c r="A25" t="s">
        <v>3</v>
      </c>
      <c r="B25" s="1">
        <v>0</v>
      </c>
      <c r="C25" s="1">
        <v>0</v>
      </c>
      <c r="D25" s="1">
        <v>0</v>
      </c>
      <c r="E25" s="1">
        <v>180000</v>
      </c>
      <c r="F25">
        <v>50000</v>
      </c>
      <c r="G25">
        <v>120000</v>
      </c>
      <c r="H25">
        <f>SUM(B25:G25)</f>
        <v>350000</v>
      </c>
    </row>
    <row r="26" spans="1:8" x14ac:dyDescent="0.3">
      <c r="A26" s="1"/>
      <c r="B26">
        <f t="shared" ref="B26:G26" si="0">SUM(B23:B25)</f>
        <v>100000</v>
      </c>
      <c r="C26">
        <f t="shared" si="0"/>
        <v>200000</v>
      </c>
      <c r="D26">
        <f t="shared" si="0"/>
        <v>20000</v>
      </c>
      <c r="E26">
        <f t="shared" si="0"/>
        <v>180000</v>
      </c>
      <c r="F26">
        <f t="shared" si="0"/>
        <v>50000</v>
      </c>
      <c r="G26">
        <f t="shared" si="0"/>
        <v>150000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8F35-DD19-4C8C-8635-229FFBD7EB36}">
  <dimension ref="A1:G57"/>
  <sheetViews>
    <sheetView showGridLines="0" workbookViewId="0"/>
  </sheetViews>
  <sheetFormatPr defaultRowHeight="14.4" outlineLevelRow="1" x14ac:dyDescent="0.3"/>
  <cols>
    <col min="1" max="1" width="2.33203125" customWidth="1"/>
    <col min="2" max="2" width="27" bestFit="1" customWidth="1"/>
    <col min="3" max="3" width="10.3320312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5" t="s">
        <v>20</v>
      </c>
    </row>
    <row r="2" spans="1:5" x14ac:dyDescent="0.3">
      <c r="A2" s="5" t="s">
        <v>185</v>
      </c>
    </row>
    <row r="3" spans="1:5" x14ac:dyDescent="0.3">
      <c r="A3" s="5" t="s">
        <v>186</v>
      </c>
    </row>
    <row r="4" spans="1:5" x14ac:dyDescent="0.3">
      <c r="A4" s="5" t="s">
        <v>23</v>
      </c>
    </row>
    <row r="5" spans="1:5" x14ac:dyDescent="0.3">
      <c r="A5" s="5" t="s">
        <v>24</v>
      </c>
    </row>
    <row r="6" spans="1:5" hidden="1" outlineLevel="1" x14ac:dyDescent="0.3">
      <c r="A6" s="5"/>
      <c r="B6" t="s">
        <v>25</v>
      </c>
    </row>
    <row r="7" spans="1:5" hidden="1" outlineLevel="1" x14ac:dyDescent="0.3">
      <c r="A7" s="5"/>
      <c r="B7" t="s">
        <v>26</v>
      </c>
    </row>
    <row r="8" spans="1:5" hidden="1" outlineLevel="1" x14ac:dyDescent="0.3">
      <c r="A8" s="5"/>
      <c r="B8" t="s">
        <v>27</v>
      </c>
    </row>
    <row r="9" spans="1:5" collapsed="1" x14ac:dyDescent="0.3">
      <c r="A9" s="5" t="s">
        <v>28</v>
      </c>
    </row>
    <row r="10" spans="1:5" hidden="1" outlineLevel="1" x14ac:dyDescent="0.3">
      <c r="B10" t="s">
        <v>29</v>
      </c>
    </row>
    <row r="11" spans="1:5" hidden="1" outlineLevel="1" x14ac:dyDescent="0.3">
      <c r="B11" t="s">
        <v>30</v>
      </c>
    </row>
    <row r="12" spans="1:5" collapsed="1" x14ac:dyDescent="0.3"/>
    <row r="14" spans="1:5" ht="15" thickBot="1" x14ac:dyDescent="0.35">
      <c r="A14" t="s">
        <v>31</v>
      </c>
    </row>
    <row r="15" spans="1:5" ht="15" thickBot="1" x14ac:dyDescent="0.35">
      <c r="B15" s="21" t="s">
        <v>32</v>
      </c>
      <c r="C15" s="21" t="s">
        <v>33</v>
      </c>
      <c r="D15" s="21" t="s">
        <v>34</v>
      </c>
      <c r="E15" s="21" t="s">
        <v>35</v>
      </c>
    </row>
    <row r="16" spans="1:5" ht="15" thickBot="1" x14ac:dyDescent="0.35">
      <c r="B16" s="6" t="s">
        <v>160</v>
      </c>
      <c r="C16" s="6" t="s">
        <v>19</v>
      </c>
      <c r="D16" s="22">
        <v>73600</v>
      </c>
      <c r="E16" s="22">
        <v>73600</v>
      </c>
    </row>
    <row r="19" spans="1:6" ht="15" thickBot="1" x14ac:dyDescent="0.35">
      <c r="A19" t="s">
        <v>36</v>
      </c>
    </row>
    <row r="20" spans="1:6" ht="15" thickBot="1" x14ac:dyDescent="0.35">
      <c r="B20" s="21" t="s">
        <v>32</v>
      </c>
      <c r="C20" s="21" t="s">
        <v>33</v>
      </c>
      <c r="D20" s="21" t="s">
        <v>34</v>
      </c>
      <c r="E20" s="21" t="s">
        <v>35</v>
      </c>
      <c r="F20" s="21" t="s">
        <v>37</v>
      </c>
    </row>
    <row r="21" spans="1:6" x14ac:dyDescent="0.3">
      <c r="B21" s="14" t="s">
        <v>203</v>
      </c>
      <c r="C21" s="23"/>
      <c r="D21" s="23"/>
      <c r="E21" s="23"/>
      <c r="F21" s="23"/>
    </row>
    <row r="22" spans="1:6" hidden="1" outlineLevel="1" x14ac:dyDescent="0.3">
      <c r="B22" s="9" t="s">
        <v>60</v>
      </c>
      <c r="C22" s="9" t="s">
        <v>187</v>
      </c>
      <c r="D22" s="11">
        <v>1000</v>
      </c>
      <c r="E22" s="11">
        <v>1000</v>
      </c>
      <c r="F22" s="9" t="s">
        <v>37</v>
      </c>
    </row>
    <row r="23" spans="1:6" hidden="1" outlineLevel="1" x14ac:dyDescent="0.3">
      <c r="B23" s="9" t="s">
        <v>62</v>
      </c>
      <c r="C23" s="9" t="s">
        <v>188</v>
      </c>
      <c r="D23" s="11">
        <v>0</v>
      </c>
      <c r="E23" s="11">
        <v>0</v>
      </c>
      <c r="F23" s="9" t="s">
        <v>37</v>
      </c>
    </row>
    <row r="24" spans="1:6" hidden="1" outlineLevel="1" x14ac:dyDescent="0.3">
      <c r="B24" s="9" t="s">
        <v>64</v>
      </c>
      <c r="C24" s="9" t="s">
        <v>189</v>
      </c>
      <c r="D24" s="11">
        <v>0</v>
      </c>
      <c r="E24" s="11">
        <v>0</v>
      </c>
      <c r="F24" s="9" t="s">
        <v>37</v>
      </c>
    </row>
    <row r="25" spans="1:6" hidden="1" outlineLevel="1" x14ac:dyDescent="0.3">
      <c r="B25" s="9" t="s">
        <v>68</v>
      </c>
      <c r="C25" s="9" t="s">
        <v>190</v>
      </c>
      <c r="D25" s="11">
        <v>0</v>
      </c>
      <c r="E25" s="11">
        <v>0</v>
      </c>
      <c r="F25" s="9" t="s">
        <v>37</v>
      </c>
    </row>
    <row r="26" spans="1:6" hidden="1" outlineLevel="1" x14ac:dyDescent="0.3">
      <c r="B26" s="9" t="s">
        <v>71</v>
      </c>
      <c r="C26" s="9" t="s">
        <v>191</v>
      </c>
      <c r="D26" s="11">
        <v>1200</v>
      </c>
      <c r="E26" s="11">
        <v>1200</v>
      </c>
      <c r="F26" s="9" t="s">
        <v>37</v>
      </c>
    </row>
    <row r="27" spans="1:6" hidden="1" outlineLevel="1" x14ac:dyDescent="0.3">
      <c r="B27" s="9" t="s">
        <v>73</v>
      </c>
      <c r="C27" s="9" t="s">
        <v>192</v>
      </c>
      <c r="D27" s="11">
        <v>300</v>
      </c>
      <c r="E27" s="11">
        <v>300</v>
      </c>
      <c r="F27" s="9" t="s">
        <v>37</v>
      </c>
    </row>
    <row r="28" spans="1:6" hidden="1" outlineLevel="1" x14ac:dyDescent="0.3">
      <c r="B28" s="9" t="s">
        <v>161</v>
      </c>
      <c r="C28" s="9" t="s">
        <v>193</v>
      </c>
      <c r="D28" s="11">
        <v>0</v>
      </c>
      <c r="E28" s="11">
        <v>0</v>
      </c>
      <c r="F28" s="9" t="s">
        <v>37</v>
      </c>
    </row>
    <row r="29" spans="1:6" hidden="1" outlineLevel="1" x14ac:dyDescent="0.3">
      <c r="B29" s="9" t="s">
        <v>162</v>
      </c>
      <c r="C29" s="9" t="s">
        <v>194</v>
      </c>
      <c r="D29" s="11">
        <v>0</v>
      </c>
      <c r="E29" s="11">
        <v>0</v>
      </c>
      <c r="F29" s="9" t="s">
        <v>37</v>
      </c>
    </row>
    <row r="30" spans="1:6" ht="15" hidden="1" outlineLevel="1" thickBot="1" x14ac:dyDescent="0.35">
      <c r="B30" s="6" t="s">
        <v>163</v>
      </c>
      <c r="C30" s="6" t="s">
        <v>195</v>
      </c>
      <c r="D30" s="10">
        <v>1200</v>
      </c>
      <c r="E30" s="10">
        <v>1200</v>
      </c>
      <c r="F30" s="6" t="s">
        <v>37</v>
      </c>
    </row>
    <row r="31" spans="1:6" collapsed="1" x14ac:dyDescent="0.3">
      <c r="B31" s="8"/>
      <c r="C31" s="8"/>
      <c r="D31" s="12"/>
      <c r="E31" s="12"/>
      <c r="F31" s="8"/>
    </row>
    <row r="34" spans="1:7" ht="15" thickBot="1" x14ac:dyDescent="0.35">
      <c r="A34" t="s">
        <v>38</v>
      </c>
    </row>
    <row r="35" spans="1:7" ht="15" thickBot="1" x14ac:dyDescent="0.35">
      <c r="B35" s="21" t="s">
        <v>32</v>
      </c>
      <c r="C35" s="21" t="s">
        <v>33</v>
      </c>
      <c r="D35" s="21" t="s">
        <v>39</v>
      </c>
      <c r="E35" s="21" t="s">
        <v>40</v>
      </c>
      <c r="F35" s="21" t="s">
        <v>41</v>
      </c>
      <c r="G35" s="21" t="s">
        <v>42</v>
      </c>
    </row>
    <row r="36" spans="1:7" x14ac:dyDescent="0.3">
      <c r="B36" s="14" t="s">
        <v>204</v>
      </c>
      <c r="C36" s="23"/>
      <c r="D36" s="23"/>
      <c r="E36" s="23"/>
      <c r="F36" s="23"/>
      <c r="G36" s="23"/>
    </row>
    <row r="37" spans="1:7" hidden="1" outlineLevel="1" x14ac:dyDescent="0.3">
      <c r="B37" s="9" t="s">
        <v>154</v>
      </c>
      <c r="C37" s="9" t="s">
        <v>176</v>
      </c>
      <c r="D37" s="11">
        <v>1000</v>
      </c>
      <c r="E37" s="9" t="s">
        <v>155</v>
      </c>
      <c r="F37" s="9" t="s">
        <v>70</v>
      </c>
      <c r="G37" s="9">
        <v>0</v>
      </c>
    </row>
    <row r="38" spans="1:7" hidden="1" outlineLevel="1" x14ac:dyDescent="0.3">
      <c r="B38" s="9" t="s">
        <v>156</v>
      </c>
      <c r="C38" s="9" t="s">
        <v>177</v>
      </c>
      <c r="D38" s="11">
        <v>1200</v>
      </c>
      <c r="E38" s="9" t="s">
        <v>157</v>
      </c>
      <c r="F38" s="9" t="s">
        <v>70</v>
      </c>
      <c r="G38" s="9">
        <v>0</v>
      </c>
    </row>
    <row r="39" spans="1:7" hidden="1" outlineLevel="1" x14ac:dyDescent="0.3">
      <c r="B39" s="9" t="s">
        <v>158</v>
      </c>
      <c r="C39" s="9" t="s">
        <v>178</v>
      </c>
      <c r="D39" s="11">
        <v>1500</v>
      </c>
      <c r="E39" s="9" t="s">
        <v>159</v>
      </c>
      <c r="F39" s="9" t="s">
        <v>70</v>
      </c>
      <c r="G39" s="9">
        <v>0</v>
      </c>
    </row>
    <row r="40" spans="1:7" collapsed="1" x14ac:dyDescent="0.3">
      <c r="B40" s="9"/>
      <c r="C40" s="9"/>
      <c r="D40" s="11"/>
      <c r="E40" s="9"/>
      <c r="F40" s="9"/>
      <c r="G40" s="9"/>
    </row>
    <row r="41" spans="1:7" x14ac:dyDescent="0.3">
      <c r="B41" s="15" t="s">
        <v>205</v>
      </c>
      <c r="C41" s="9"/>
      <c r="D41" s="11"/>
      <c r="E41" s="9"/>
      <c r="F41" s="9"/>
      <c r="G41" s="9"/>
    </row>
    <row r="42" spans="1:7" hidden="1" outlineLevel="1" x14ac:dyDescent="0.3">
      <c r="B42" s="9" t="s">
        <v>66</v>
      </c>
      <c r="C42" s="9" t="s">
        <v>196</v>
      </c>
      <c r="D42" s="11">
        <v>1000</v>
      </c>
      <c r="E42" s="9" t="s">
        <v>197</v>
      </c>
      <c r="F42" s="9" t="s">
        <v>70</v>
      </c>
      <c r="G42" s="9">
        <v>0</v>
      </c>
    </row>
    <row r="43" spans="1:7" hidden="1" outlineLevel="1" x14ac:dyDescent="0.3">
      <c r="B43" s="9" t="s">
        <v>75</v>
      </c>
      <c r="C43" s="9" t="s">
        <v>198</v>
      </c>
      <c r="D43" s="11">
        <v>1500</v>
      </c>
      <c r="E43" s="9" t="s">
        <v>199</v>
      </c>
      <c r="F43" s="9" t="s">
        <v>70</v>
      </c>
      <c r="G43" s="9">
        <v>0</v>
      </c>
    </row>
    <row r="44" spans="1:7" hidden="1" outlineLevel="1" x14ac:dyDescent="0.3">
      <c r="B44" s="9" t="s">
        <v>164</v>
      </c>
      <c r="C44" s="9" t="s">
        <v>200</v>
      </c>
      <c r="D44" s="11">
        <v>1200</v>
      </c>
      <c r="E44" s="9" t="s">
        <v>201</v>
      </c>
      <c r="F44" s="9" t="s">
        <v>70</v>
      </c>
      <c r="G44" s="9">
        <v>0</v>
      </c>
    </row>
    <row r="45" spans="1:7" collapsed="1" x14ac:dyDescent="0.3">
      <c r="B45" s="9"/>
      <c r="C45" s="9"/>
      <c r="D45" s="11"/>
      <c r="E45" s="9"/>
      <c r="F45" s="9"/>
      <c r="G45" s="9"/>
    </row>
    <row r="46" spans="1:7" x14ac:dyDescent="0.3">
      <c r="B46" s="15" t="s">
        <v>206</v>
      </c>
      <c r="C46" s="9"/>
      <c r="D46" s="11"/>
      <c r="E46" s="9"/>
      <c r="F46" s="9"/>
      <c r="G46" s="9"/>
    </row>
    <row r="47" spans="1:7" hidden="1" outlineLevel="1" x14ac:dyDescent="0.3">
      <c r="B47" s="9" t="s">
        <v>60</v>
      </c>
      <c r="C47" s="9" t="s">
        <v>187</v>
      </c>
      <c r="D47" s="11">
        <v>1000</v>
      </c>
      <c r="E47" s="9" t="s">
        <v>95</v>
      </c>
      <c r="F47" s="9" t="s">
        <v>87</v>
      </c>
      <c r="G47" s="11">
        <v>1000</v>
      </c>
    </row>
    <row r="48" spans="1:7" hidden="1" outlineLevel="1" x14ac:dyDescent="0.3">
      <c r="B48" s="9" t="s">
        <v>62</v>
      </c>
      <c r="C48" s="9" t="s">
        <v>188</v>
      </c>
      <c r="D48" s="11">
        <v>0</v>
      </c>
      <c r="E48" s="9" t="s">
        <v>96</v>
      </c>
      <c r="F48" s="9" t="s">
        <v>70</v>
      </c>
      <c r="G48" s="11">
        <v>0</v>
      </c>
    </row>
    <row r="49" spans="2:7" hidden="1" outlineLevel="1" x14ac:dyDescent="0.3">
      <c r="B49" s="9" t="s">
        <v>64</v>
      </c>
      <c r="C49" s="9" t="s">
        <v>189</v>
      </c>
      <c r="D49" s="11">
        <v>0</v>
      </c>
      <c r="E49" s="9" t="s">
        <v>97</v>
      </c>
      <c r="F49" s="9" t="s">
        <v>70</v>
      </c>
      <c r="G49" s="11">
        <v>0</v>
      </c>
    </row>
    <row r="50" spans="2:7" hidden="1" outlineLevel="1" x14ac:dyDescent="0.3">
      <c r="B50" s="9" t="s">
        <v>68</v>
      </c>
      <c r="C50" s="9" t="s">
        <v>190</v>
      </c>
      <c r="D50" s="11">
        <v>0</v>
      </c>
      <c r="E50" s="9" t="s">
        <v>165</v>
      </c>
      <c r="F50" s="9" t="s">
        <v>70</v>
      </c>
      <c r="G50" s="11">
        <v>0</v>
      </c>
    </row>
    <row r="51" spans="2:7" hidden="1" outlineLevel="1" x14ac:dyDescent="0.3">
      <c r="B51" s="9" t="s">
        <v>71</v>
      </c>
      <c r="C51" s="9" t="s">
        <v>191</v>
      </c>
      <c r="D51" s="11">
        <v>1200</v>
      </c>
      <c r="E51" s="9" t="s">
        <v>166</v>
      </c>
      <c r="F51" s="9" t="s">
        <v>87</v>
      </c>
      <c r="G51" s="11">
        <v>1200</v>
      </c>
    </row>
    <row r="52" spans="2:7" hidden="1" outlineLevel="1" x14ac:dyDescent="0.3">
      <c r="B52" s="9" t="s">
        <v>73</v>
      </c>
      <c r="C52" s="9" t="s">
        <v>192</v>
      </c>
      <c r="D52" s="11">
        <v>300</v>
      </c>
      <c r="E52" s="9" t="s">
        <v>167</v>
      </c>
      <c r="F52" s="9" t="s">
        <v>87</v>
      </c>
      <c r="G52" s="11">
        <v>300</v>
      </c>
    </row>
    <row r="53" spans="2:7" hidden="1" outlineLevel="1" x14ac:dyDescent="0.3">
      <c r="B53" s="9" t="s">
        <v>161</v>
      </c>
      <c r="C53" s="9" t="s">
        <v>193</v>
      </c>
      <c r="D53" s="11">
        <v>0</v>
      </c>
      <c r="E53" s="9" t="s">
        <v>168</v>
      </c>
      <c r="F53" s="9" t="s">
        <v>70</v>
      </c>
      <c r="G53" s="11">
        <v>0</v>
      </c>
    </row>
    <row r="54" spans="2:7" hidden="1" outlineLevel="1" x14ac:dyDescent="0.3">
      <c r="B54" s="9" t="s">
        <v>162</v>
      </c>
      <c r="C54" s="9" t="s">
        <v>194</v>
      </c>
      <c r="D54" s="11">
        <v>0</v>
      </c>
      <c r="E54" s="9" t="s">
        <v>169</v>
      </c>
      <c r="F54" s="9" t="s">
        <v>70</v>
      </c>
      <c r="G54" s="11">
        <v>0</v>
      </c>
    </row>
    <row r="55" spans="2:7" hidden="1" outlineLevel="1" x14ac:dyDescent="0.3">
      <c r="B55" s="9" t="s">
        <v>163</v>
      </c>
      <c r="C55" s="9" t="s">
        <v>195</v>
      </c>
      <c r="D55" s="11">
        <v>1200</v>
      </c>
      <c r="E55" s="9" t="s">
        <v>170</v>
      </c>
      <c r="F55" s="9" t="s">
        <v>87</v>
      </c>
      <c r="G55" s="11">
        <v>1200</v>
      </c>
    </row>
    <row r="56" spans="2:7" collapsed="1" x14ac:dyDescent="0.3">
      <c r="B56" s="9"/>
      <c r="C56" s="9"/>
      <c r="D56" s="11"/>
      <c r="E56" s="9"/>
      <c r="F56" s="9"/>
      <c r="G56" s="11"/>
    </row>
    <row r="57" spans="2:7" ht="15" thickBot="1" x14ac:dyDescent="0.35">
      <c r="B57" s="6" t="s">
        <v>202</v>
      </c>
      <c r="C57" s="6"/>
      <c r="D57" s="6"/>
      <c r="E57" s="6"/>
      <c r="F57" s="6"/>
      <c r="G57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ADB8-505D-4DF6-AD76-D88FA4BA9CEB}">
  <dimension ref="A1:J26"/>
  <sheetViews>
    <sheetView topLeftCell="C1" zoomScale="87" workbookViewId="0">
      <selection activeCell="J16" sqref="J16"/>
    </sheetView>
  </sheetViews>
  <sheetFormatPr defaultRowHeight="14.4" x14ac:dyDescent="0.3"/>
  <cols>
    <col min="4" max="4" width="9.6640625" customWidth="1"/>
    <col min="7" max="7" width="6.88671875" customWidth="1"/>
    <col min="9" max="9" width="7.109375" customWidth="1"/>
    <col min="10" max="10" width="17.6640625" customWidth="1"/>
  </cols>
  <sheetData>
    <row r="1" spans="1:10" x14ac:dyDescent="0.3">
      <c r="A1">
        <v>4</v>
      </c>
    </row>
    <row r="2" spans="1:10" ht="28.8" x14ac:dyDescent="0.3">
      <c r="A2" t="s">
        <v>174</v>
      </c>
      <c r="E2" s="16" t="s">
        <v>182</v>
      </c>
      <c r="F2" s="16" t="s">
        <v>183</v>
      </c>
      <c r="G2" s="24" t="s">
        <v>184</v>
      </c>
      <c r="H2" s="26"/>
      <c r="I2" s="26"/>
      <c r="J2" s="26"/>
    </row>
    <row r="3" spans="1:10" x14ac:dyDescent="0.3">
      <c r="A3" t="s">
        <v>171</v>
      </c>
      <c r="B3">
        <v>1000</v>
      </c>
      <c r="D3" s="1" t="s">
        <v>179</v>
      </c>
      <c r="E3" s="2">
        <v>110</v>
      </c>
      <c r="F3" s="2">
        <v>115</v>
      </c>
      <c r="G3" s="25">
        <v>126</v>
      </c>
      <c r="H3" s="27"/>
      <c r="I3" s="27"/>
      <c r="J3" s="27"/>
    </row>
    <row r="4" spans="1:10" x14ac:dyDescent="0.3">
      <c r="A4" t="s">
        <v>172</v>
      </c>
      <c r="B4">
        <v>1500</v>
      </c>
      <c r="D4" s="1" t="s">
        <v>180</v>
      </c>
      <c r="E4" s="2">
        <v>107</v>
      </c>
      <c r="F4" s="2">
        <v>115</v>
      </c>
      <c r="G4" s="25">
        <v>120</v>
      </c>
      <c r="H4" s="27"/>
      <c r="I4" s="27"/>
      <c r="J4" s="27"/>
    </row>
    <row r="5" spans="1:10" x14ac:dyDescent="0.3">
      <c r="A5" t="s">
        <v>173</v>
      </c>
      <c r="B5">
        <v>1200</v>
      </c>
      <c r="D5" s="1" t="s">
        <v>181</v>
      </c>
      <c r="E5" s="2">
        <v>104</v>
      </c>
      <c r="F5" s="2">
        <v>109</v>
      </c>
      <c r="G5" s="25">
        <v>120</v>
      </c>
      <c r="H5" s="27"/>
      <c r="I5" s="27"/>
      <c r="J5" s="27"/>
    </row>
    <row r="6" spans="1:10" x14ac:dyDescent="0.3">
      <c r="A6" t="s">
        <v>175</v>
      </c>
    </row>
    <row r="7" spans="1:10" x14ac:dyDescent="0.3">
      <c r="A7" t="s">
        <v>176</v>
      </c>
      <c r="B7">
        <v>1000</v>
      </c>
    </row>
    <row r="8" spans="1:10" x14ac:dyDescent="0.3">
      <c r="A8" t="s">
        <v>177</v>
      </c>
      <c r="B8">
        <v>1200</v>
      </c>
    </row>
    <row r="9" spans="1:10" x14ac:dyDescent="0.3">
      <c r="A9" t="s">
        <v>178</v>
      </c>
      <c r="B9">
        <v>1500</v>
      </c>
    </row>
    <row r="14" spans="1:10" x14ac:dyDescent="0.3">
      <c r="A14" t="s">
        <v>17</v>
      </c>
    </row>
    <row r="15" spans="1:10" x14ac:dyDescent="0.3">
      <c r="A15" s="1" t="s">
        <v>18</v>
      </c>
      <c r="B15" s="1" t="s">
        <v>176</v>
      </c>
      <c r="C15" s="1" t="s">
        <v>177</v>
      </c>
      <c r="D15" s="1" t="s">
        <v>178</v>
      </c>
      <c r="E15" s="1"/>
      <c r="F15" s="1"/>
      <c r="G15" s="1"/>
      <c r="I15" s="18" t="s">
        <v>19</v>
      </c>
      <c r="J15" s="19">
        <f>SUMPRODUCT(B16:D18,B23:D25)</f>
        <v>73600</v>
      </c>
    </row>
    <row r="16" spans="1:10" x14ac:dyDescent="0.3">
      <c r="A16" t="s">
        <v>171</v>
      </c>
      <c r="B16" s="1">
        <v>10</v>
      </c>
      <c r="C16" s="1">
        <v>12</v>
      </c>
      <c r="D16" s="1">
        <v>14</v>
      </c>
      <c r="E16">
        <v>1000</v>
      </c>
      <c r="G16" s="1"/>
    </row>
    <row r="17" spans="1:7" x14ac:dyDescent="0.3">
      <c r="A17" t="s">
        <v>172</v>
      </c>
      <c r="B17" s="1">
        <v>24</v>
      </c>
      <c r="C17" s="1">
        <v>22</v>
      </c>
      <c r="D17" s="1">
        <v>20</v>
      </c>
      <c r="E17">
        <v>1500</v>
      </c>
      <c r="G17" s="1"/>
    </row>
    <row r="18" spans="1:7" x14ac:dyDescent="0.3">
      <c r="A18" t="s">
        <v>173</v>
      </c>
      <c r="B18" s="1">
        <v>30</v>
      </c>
      <c r="C18" s="1">
        <v>28</v>
      </c>
      <c r="D18" s="1">
        <v>26</v>
      </c>
      <c r="E18">
        <v>1200</v>
      </c>
      <c r="G18" s="1"/>
    </row>
    <row r="19" spans="1:7" x14ac:dyDescent="0.3">
      <c r="A19" s="1"/>
      <c r="B19" s="20">
        <v>1000</v>
      </c>
      <c r="C19" s="20">
        <v>1200</v>
      </c>
      <c r="D19" s="20">
        <v>1500</v>
      </c>
      <c r="E19" s="20"/>
      <c r="F19" s="20"/>
      <c r="G19" s="20"/>
    </row>
    <row r="22" spans="1:7" x14ac:dyDescent="0.3">
      <c r="A22" s="1" t="s">
        <v>18</v>
      </c>
      <c r="B22" s="1" t="s">
        <v>176</v>
      </c>
      <c r="C22" s="1" t="s">
        <v>177</v>
      </c>
      <c r="D22" s="1" t="s">
        <v>178</v>
      </c>
      <c r="E22" s="1"/>
      <c r="F22" s="1"/>
      <c r="G22" s="1"/>
    </row>
    <row r="23" spans="1:7" x14ac:dyDescent="0.3">
      <c r="A23" t="s">
        <v>171</v>
      </c>
      <c r="B23" s="1">
        <v>1000</v>
      </c>
      <c r="C23" s="1">
        <v>0</v>
      </c>
      <c r="D23" s="1">
        <v>0</v>
      </c>
      <c r="E23">
        <f>SUM(B23:D23)</f>
        <v>1000</v>
      </c>
    </row>
    <row r="24" spans="1:7" x14ac:dyDescent="0.3">
      <c r="A24" t="s">
        <v>172</v>
      </c>
      <c r="B24" s="1">
        <v>0</v>
      </c>
      <c r="C24" s="1">
        <v>1200</v>
      </c>
      <c r="D24" s="1">
        <v>300</v>
      </c>
      <c r="E24">
        <f t="shared" ref="E24:E25" si="0">SUM(B24:D24)</f>
        <v>1500</v>
      </c>
    </row>
    <row r="25" spans="1:7" x14ac:dyDescent="0.3">
      <c r="A25" t="s">
        <v>173</v>
      </c>
      <c r="B25" s="1">
        <v>0</v>
      </c>
      <c r="C25" s="1">
        <v>0</v>
      </c>
      <c r="D25" s="1">
        <v>1200</v>
      </c>
      <c r="E25">
        <f t="shared" si="0"/>
        <v>1200</v>
      </c>
    </row>
    <row r="26" spans="1:7" x14ac:dyDescent="0.3">
      <c r="A26" s="1"/>
      <c r="B26">
        <f t="shared" ref="B26:D26" si="1">SUM(B23:B25)</f>
        <v>1000</v>
      </c>
      <c r="C26">
        <f t="shared" si="1"/>
        <v>1200</v>
      </c>
      <c r="D26">
        <f t="shared" si="1"/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Отчет о результатах 1</vt:lpstr>
      <vt:lpstr>Лист1</vt:lpstr>
      <vt:lpstr>Отчет о результатах 3</vt:lpstr>
      <vt:lpstr>Лист3</vt:lpstr>
      <vt:lpstr>Лист8</vt:lpstr>
      <vt:lpstr>Отчет о результатах 4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Жантай Сартбаев</dc:creator>
  <cp:lastModifiedBy>Жантай Сартбаев</cp:lastModifiedBy>
  <dcterms:created xsi:type="dcterms:W3CDTF">2015-06-05T18:19:34Z</dcterms:created>
  <dcterms:modified xsi:type="dcterms:W3CDTF">2026-03-03T00:49:57Z</dcterms:modified>
</cp:coreProperties>
</file>