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https://d.docs.live.net/d0360a4e9aa2e6a7/Документы/1_МатМет/"/>
    </mc:Choice>
  </mc:AlternateContent>
  <xr:revisionPtr revIDLastSave="1" documentId="11_AD4DF75460589B3ACB7284F6879F73005BDEDDA7" xr6:coauthVersionLast="45" xr6:coauthVersionMax="45" xr10:uidLastSave="{9FCD9F45-2FFC-469C-95F9-0B6A76D44497}"/>
  <bookViews>
    <workbookView xWindow="1776" yWindow="1776" windowWidth="17280" windowHeight="8880" activeTab="1" xr2:uid="{00000000-000D-0000-FFFF-FFFF00000000}"/>
  </bookViews>
  <sheets>
    <sheet name="Отчет о результатах 1" sheetId="2" r:id="rId1"/>
    <sheet name="Лист1" sheetId="1" r:id="rId2"/>
  </sheets>
  <definedNames>
    <definedName name="solver_adj" localSheetId="1" hidden="1">Лист1!$B$10:$E$12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Лист1!$B$10:$E$12</definedName>
    <definedName name="solver_lhs2" localSheetId="1" hidden="1">Лист1!$B$10:$E$12</definedName>
    <definedName name="solver_lhs3" localSheetId="1" hidden="1">Лист1!$B$13:$E$13</definedName>
    <definedName name="solver_lhs4" localSheetId="1" hidden="1">Лист1!$F$4:$F$6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4</definedName>
    <definedName name="solver_nwt" localSheetId="1" hidden="1">1</definedName>
    <definedName name="solver_opt" localSheetId="1" hidden="1">Лист1!$H$4</definedName>
    <definedName name="solver_pre" localSheetId="1" hidden="1">0.000001</definedName>
    <definedName name="solver_rbv" localSheetId="1" hidden="1">1</definedName>
    <definedName name="solver_rel1" localSheetId="1" hidden="1">4</definedName>
    <definedName name="solver_rel2" localSheetId="1" hidden="1">3</definedName>
    <definedName name="solver_rel3" localSheetId="1" hidden="1">2</definedName>
    <definedName name="solver_rel4" localSheetId="1" hidden="1">2</definedName>
    <definedName name="solver_rhs1" localSheetId="1" hidden="1">целое</definedName>
    <definedName name="solver_rhs2" localSheetId="1" hidden="1">0</definedName>
    <definedName name="solver_rhs3" localSheetId="1" hidden="1">Лист1!$B$7:$E$7</definedName>
    <definedName name="solver_rhs4" localSheetId="1" hidden="1">Лист1!$F$10:$F$12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4" i="1" l="1"/>
  <c r="F11" i="1"/>
  <c r="F12" i="1"/>
  <c r="F10" i="1"/>
  <c r="C13" i="1"/>
  <c r="D13" i="1"/>
  <c r="E13" i="1"/>
  <c r="B13" i="1"/>
</calcChain>
</file>

<file path=xl/sharedStrings.xml><?xml version="1.0" encoding="utf-8"?>
<sst xmlns="http://schemas.openxmlformats.org/spreadsheetml/2006/main" count="133" uniqueCount="74">
  <si>
    <t>Задание 4</t>
  </si>
  <si>
    <t>Станок              Детали</t>
  </si>
  <si>
    <t>Всего</t>
  </si>
  <si>
    <t>Целевая функция</t>
  </si>
  <si>
    <t>Microsoft Excel 16.0 Отчет о результатах</t>
  </si>
  <si>
    <t>Лист: [8  лаба.xlsx]Лист1</t>
  </si>
  <si>
    <t>Отчет создан: 04.03.2026 12:08:40</t>
  </si>
  <si>
    <t>Результат: Решение найдено. Все ограничения и условия оптимальности выполнены.</t>
  </si>
  <si>
    <t>Модуль поиска решения</t>
  </si>
  <si>
    <t>Модуль: Поиск решения лин. задач симплекс-методом</t>
  </si>
  <si>
    <t>Время решения: 0,078 секунд.</t>
  </si>
  <si>
    <t>Число итераций: 10 Число подзадач: 0</t>
  </si>
  <si>
    <t>Параметры поиска решения</t>
  </si>
  <si>
    <t>Максимальное время Без пределов,  Число итераций Без пределов, Precision 0,000001, Использовать автоматическое масштабирование</t>
  </si>
  <si>
    <t>Максимальное число подзадач Без пределов, Максимальное число целочисленных решений Без пределов, Целочисленное отклонение 1%, Считать неотрицательными</t>
  </si>
  <si>
    <t>Ячейка целевой функции (Минимум)</t>
  </si>
  <si>
    <t>Ячейка</t>
  </si>
  <si>
    <t>Имя</t>
  </si>
  <si>
    <t>Исходное значение</t>
  </si>
  <si>
    <t>Окончательное значение</t>
  </si>
  <si>
    <t>Ячейки переменных</t>
  </si>
  <si>
    <t>Целочисленное</t>
  </si>
  <si>
    <t>Ограничения</t>
  </si>
  <si>
    <t>Значение ячейки</t>
  </si>
  <si>
    <t>Формула</t>
  </si>
  <si>
    <t>Состояние</t>
  </si>
  <si>
    <t>Допуск</t>
  </si>
  <si>
    <t>$H$4</t>
  </si>
  <si>
    <t>$B$10</t>
  </si>
  <si>
    <t>$C$10</t>
  </si>
  <si>
    <t>$D$10</t>
  </si>
  <si>
    <t>$E$10</t>
  </si>
  <si>
    <t>$B$11</t>
  </si>
  <si>
    <t>$C$11</t>
  </si>
  <si>
    <t>$D$11</t>
  </si>
  <si>
    <t>$E$11</t>
  </si>
  <si>
    <t>$B$12</t>
  </si>
  <si>
    <t>$C$12</t>
  </si>
  <si>
    <t>$D$12</t>
  </si>
  <si>
    <t>$E$12</t>
  </si>
  <si>
    <t>$B$13</t>
  </si>
  <si>
    <t>$B$13=$B$7</t>
  </si>
  <si>
    <t>Привязка</t>
  </si>
  <si>
    <t>$C$13</t>
  </si>
  <si>
    <t>$C$13=$C$7</t>
  </si>
  <si>
    <t>$D$13</t>
  </si>
  <si>
    <t>$D$13=$D$7</t>
  </si>
  <si>
    <t>$E$13</t>
  </si>
  <si>
    <t>$E$13=$E$7</t>
  </si>
  <si>
    <t>$F$4</t>
  </si>
  <si>
    <t>$F$4=$F$10</t>
  </si>
  <si>
    <t>$F$5</t>
  </si>
  <si>
    <t>$F$5=$F$11</t>
  </si>
  <si>
    <t>$F$6</t>
  </si>
  <si>
    <t>$F$6=$F$12</t>
  </si>
  <si>
    <t>$B$10&gt;=0</t>
  </si>
  <si>
    <t>Без привязки</t>
  </si>
  <si>
    <t>$C$10&gt;=0</t>
  </si>
  <si>
    <t>$D$10&gt;=0</t>
  </si>
  <si>
    <t>$E$10&gt;=0</t>
  </si>
  <si>
    <t>$B$11&gt;=0</t>
  </si>
  <si>
    <t>$C$11&gt;=0</t>
  </si>
  <si>
    <t>$D$11&gt;=0</t>
  </si>
  <si>
    <t>$E$11&gt;=0</t>
  </si>
  <si>
    <t>$B$12&gt;=0</t>
  </si>
  <si>
    <t>$C$12&gt;=0</t>
  </si>
  <si>
    <t>$D$12&gt;=0</t>
  </si>
  <si>
    <t>$E$12&gt;=0</t>
  </si>
  <si>
    <t>$B$10:$E$12=Целочисленное</t>
  </si>
  <si>
    <t>$B$10:$E$12</t>
  </si>
  <si>
    <t>$B$13:$E$13 = $B$7:$E$7</t>
  </si>
  <si>
    <t>$F$4:$F$6 = $F$10:$F$12</t>
  </si>
  <si>
    <t>$B$10:$E$12 &gt;= 0</t>
  </si>
  <si>
    <t>Минимум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</si>
</sst>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indexed="18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2" borderId="1" xfId="0" applyFill="1" applyBorder="1"/>
    <xf numFmtId="0" fontId="1" fillId="0" borderId="0" xfId="0" applyFont="1"/>
    <xf numFmtId="0" fontId="0" fillId="0" borderId="4" xfId="0" applyFill="1" applyBorder="1" applyAlignment="1"/>
    <xf numFmtId="0" fontId="2" fillId="0" borderId="3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5" xfId="0" applyFill="1" applyBorder="1" applyAlignment="1"/>
    <xf numFmtId="0" fontId="0" fillId="0" borderId="4" xfId="0" applyNumberFormat="1" applyFill="1" applyBorder="1" applyAlignment="1"/>
    <xf numFmtId="0" fontId="0" fillId="0" borderId="5" xfId="0" applyNumberFormat="1" applyFill="1" applyBorder="1" applyAlignment="1"/>
    <xf numFmtId="0" fontId="0" fillId="0" borderId="0" xfId="0" applyNumberFormat="1" applyFill="1" applyBorder="1" applyAlignment="1"/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0D2B7-FB09-441C-84C6-E2F4AE7FA5A2}">
  <dimension ref="A1:G64"/>
  <sheetViews>
    <sheetView showGridLines="0" workbookViewId="0"/>
  </sheetViews>
  <sheetFormatPr defaultRowHeight="14.4" outlineLevelRow="1" x14ac:dyDescent="0.3"/>
  <cols>
    <col min="1" max="1" width="2.33203125" customWidth="1"/>
    <col min="2" max="2" width="26.77734375" bestFit="1" customWidth="1"/>
    <col min="3" max="3" width="16.21875" bestFit="1" customWidth="1"/>
    <col min="4" max="4" width="18.44140625" bestFit="1" customWidth="1"/>
    <col min="5" max="5" width="23.5546875" bestFit="1" customWidth="1"/>
    <col min="6" max="6" width="14.88671875" bestFit="1" customWidth="1"/>
    <col min="7" max="7" width="7.44140625" bestFit="1" customWidth="1"/>
  </cols>
  <sheetData>
    <row r="1" spans="1:5" x14ac:dyDescent="0.3">
      <c r="A1" s="4" t="s">
        <v>4</v>
      </c>
    </row>
    <row r="2" spans="1:5" x14ac:dyDescent="0.3">
      <c r="A2" s="4" t="s">
        <v>5</v>
      </c>
    </row>
    <row r="3" spans="1:5" x14ac:dyDescent="0.3">
      <c r="A3" s="4" t="s">
        <v>6</v>
      </c>
    </row>
    <row r="4" spans="1:5" x14ac:dyDescent="0.3">
      <c r="A4" s="4" t="s">
        <v>7</v>
      </c>
    </row>
    <row r="5" spans="1:5" x14ac:dyDescent="0.3">
      <c r="A5" s="4" t="s">
        <v>8</v>
      </c>
    </row>
    <row r="6" spans="1:5" hidden="1" outlineLevel="1" x14ac:dyDescent="0.3">
      <c r="A6" s="4"/>
      <c r="B6" t="s">
        <v>9</v>
      </c>
    </row>
    <row r="7" spans="1:5" hidden="1" outlineLevel="1" x14ac:dyDescent="0.3">
      <c r="A7" s="4"/>
      <c r="B7" t="s">
        <v>10</v>
      </c>
    </row>
    <row r="8" spans="1:5" hidden="1" outlineLevel="1" x14ac:dyDescent="0.3">
      <c r="A8" s="4"/>
      <c r="B8" t="s">
        <v>11</v>
      </c>
    </row>
    <row r="9" spans="1:5" collapsed="1" x14ac:dyDescent="0.3">
      <c r="A9" s="4" t="s">
        <v>12</v>
      </c>
    </row>
    <row r="10" spans="1:5" hidden="1" outlineLevel="1" x14ac:dyDescent="0.3">
      <c r="B10" t="s">
        <v>13</v>
      </c>
    </row>
    <row r="11" spans="1:5" hidden="1" outlineLevel="1" x14ac:dyDescent="0.3">
      <c r="B11" t="s">
        <v>14</v>
      </c>
    </row>
    <row r="12" spans="1:5" collapsed="1" x14ac:dyDescent="0.3"/>
    <row r="14" spans="1:5" ht="15" thickBot="1" x14ac:dyDescent="0.35">
      <c r="A14" t="s">
        <v>15</v>
      </c>
    </row>
    <row r="15" spans="1:5" ht="15" thickBot="1" x14ac:dyDescent="0.35">
      <c r="B15" s="6" t="s">
        <v>16</v>
      </c>
      <c r="C15" s="6" t="s">
        <v>17</v>
      </c>
      <c r="D15" s="6" t="s">
        <v>18</v>
      </c>
      <c r="E15" s="6" t="s">
        <v>19</v>
      </c>
    </row>
    <row r="16" spans="1:5" ht="15" thickBot="1" x14ac:dyDescent="0.35">
      <c r="B16" s="5" t="s">
        <v>27</v>
      </c>
      <c r="C16" s="5" t="s">
        <v>3</v>
      </c>
      <c r="D16" s="9">
        <v>0</v>
      </c>
      <c r="E16" s="9">
        <v>2860</v>
      </c>
    </row>
    <row r="19" spans="1:6" ht="15" thickBot="1" x14ac:dyDescent="0.35">
      <c r="A19" t="s">
        <v>20</v>
      </c>
    </row>
    <row r="20" spans="1:6" ht="15" thickBot="1" x14ac:dyDescent="0.35">
      <c r="B20" s="6" t="s">
        <v>16</v>
      </c>
      <c r="C20" s="6" t="s">
        <v>17</v>
      </c>
      <c r="D20" s="6" t="s">
        <v>18</v>
      </c>
      <c r="E20" s="6" t="s">
        <v>19</v>
      </c>
      <c r="F20" s="6" t="s">
        <v>21</v>
      </c>
    </row>
    <row r="21" spans="1:6" x14ac:dyDescent="0.3">
      <c r="B21" s="13" t="s">
        <v>69</v>
      </c>
      <c r="C21" s="12"/>
      <c r="D21" s="12"/>
      <c r="E21" s="12"/>
      <c r="F21" s="12"/>
    </row>
    <row r="22" spans="1:6" hidden="1" outlineLevel="1" x14ac:dyDescent="0.3">
      <c r="B22" s="8" t="s">
        <v>28</v>
      </c>
      <c r="C22" s="8"/>
      <c r="D22" s="10">
        <v>0</v>
      </c>
      <c r="E22" s="10">
        <v>90</v>
      </c>
      <c r="F22" s="8" t="s">
        <v>21</v>
      </c>
    </row>
    <row r="23" spans="1:6" hidden="1" outlineLevel="1" x14ac:dyDescent="0.3">
      <c r="B23" s="8" t="s">
        <v>29</v>
      </c>
      <c r="C23" s="8"/>
      <c r="D23" s="10">
        <v>0</v>
      </c>
      <c r="E23" s="10">
        <v>0</v>
      </c>
      <c r="F23" s="8" t="s">
        <v>21</v>
      </c>
    </row>
    <row r="24" spans="1:6" hidden="1" outlineLevel="1" x14ac:dyDescent="0.3">
      <c r="B24" s="8" t="s">
        <v>30</v>
      </c>
      <c r="C24" s="8"/>
      <c r="D24" s="10">
        <v>0</v>
      </c>
      <c r="E24" s="10">
        <v>0</v>
      </c>
      <c r="F24" s="8" t="s">
        <v>21</v>
      </c>
    </row>
    <row r="25" spans="1:6" hidden="1" outlineLevel="1" x14ac:dyDescent="0.3">
      <c r="B25" s="8" t="s">
        <v>31</v>
      </c>
      <c r="C25" s="8"/>
      <c r="D25" s="10">
        <v>0</v>
      </c>
      <c r="E25" s="10">
        <v>110</v>
      </c>
      <c r="F25" s="8" t="s">
        <v>21</v>
      </c>
    </row>
    <row r="26" spans="1:6" hidden="1" outlineLevel="1" x14ac:dyDescent="0.3">
      <c r="B26" s="8" t="s">
        <v>32</v>
      </c>
      <c r="C26" s="8"/>
      <c r="D26" s="10">
        <v>0</v>
      </c>
      <c r="E26" s="10">
        <v>0</v>
      </c>
      <c r="F26" s="8" t="s">
        <v>21</v>
      </c>
    </row>
    <row r="27" spans="1:6" hidden="1" outlineLevel="1" x14ac:dyDescent="0.3">
      <c r="B27" s="8" t="s">
        <v>33</v>
      </c>
      <c r="C27" s="8"/>
      <c r="D27" s="10">
        <v>0</v>
      </c>
      <c r="E27" s="10">
        <v>145</v>
      </c>
      <c r="F27" s="8" t="s">
        <v>21</v>
      </c>
    </row>
    <row r="28" spans="1:6" hidden="1" outlineLevel="1" x14ac:dyDescent="0.3">
      <c r="B28" s="8" t="s">
        <v>34</v>
      </c>
      <c r="C28" s="8"/>
      <c r="D28" s="10">
        <v>0</v>
      </c>
      <c r="E28" s="10">
        <v>0</v>
      </c>
      <c r="F28" s="8" t="s">
        <v>21</v>
      </c>
    </row>
    <row r="29" spans="1:6" hidden="1" outlineLevel="1" x14ac:dyDescent="0.3">
      <c r="B29" s="8" t="s">
        <v>35</v>
      </c>
      <c r="C29" s="8"/>
      <c r="D29" s="10">
        <v>0</v>
      </c>
      <c r="E29" s="10">
        <v>0</v>
      </c>
      <c r="F29" s="8" t="s">
        <v>21</v>
      </c>
    </row>
    <row r="30" spans="1:6" hidden="1" outlineLevel="1" x14ac:dyDescent="0.3">
      <c r="B30" s="8" t="s">
        <v>36</v>
      </c>
      <c r="C30" s="8"/>
      <c r="D30" s="10">
        <v>0</v>
      </c>
      <c r="E30" s="10">
        <v>70</v>
      </c>
      <c r="F30" s="8" t="s">
        <v>21</v>
      </c>
    </row>
    <row r="31" spans="1:6" hidden="1" outlineLevel="1" x14ac:dyDescent="0.3">
      <c r="B31" s="8" t="s">
        <v>37</v>
      </c>
      <c r="C31" s="8"/>
      <c r="D31" s="10">
        <v>0</v>
      </c>
      <c r="E31" s="10">
        <v>25</v>
      </c>
      <c r="F31" s="8" t="s">
        <v>21</v>
      </c>
    </row>
    <row r="32" spans="1:6" hidden="1" outlineLevel="1" x14ac:dyDescent="0.3">
      <c r="B32" s="8" t="s">
        <v>38</v>
      </c>
      <c r="C32" s="8"/>
      <c r="D32" s="10">
        <v>0</v>
      </c>
      <c r="E32" s="10">
        <v>90</v>
      </c>
      <c r="F32" s="8" t="s">
        <v>21</v>
      </c>
    </row>
    <row r="33" spans="1:7" ht="15" hidden="1" outlineLevel="1" thickBot="1" x14ac:dyDescent="0.35">
      <c r="B33" s="5" t="s">
        <v>39</v>
      </c>
      <c r="C33" s="5"/>
      <c r="D33" s="9">
        <v>0</v>
      </c>
      <c r="E33" s="9">
        <v>0</v>
      </c>
      <c r="F33" s="5" t="s">
        <v>21</v>
      </c>
    </row>
    <row r="34" spans="1:7" collapsed="1" x14ac:dyDescent="0.3">
      <c r="B34" s="7"/>
      <c r="C34" s="7"/>
      <c r="D34" s="11"/>
      <c r="E34" s="11"/>
      <c r="F34" s="7"/>
    </row>
    <row r="37" spans="1:7" ht="15" thickBot="1" x14ac:dyDescent="0.35">
      <c r="A37" t="s">
        <v>22</v>
      </c>
    </row>
    <row r="38" spans="1:7" ht="15" thickBot="1" x14ac:dyDescent="0.35">
      <c r="B38" s="6" t="s">
        <v>16</v>
      </c>
      <c r="C38" s="6" t="s">
        <v>17</v>
      </c>
      <c r="D38" s="6" t="s">
        <v>23</v>
      </c>
      <c r="E38" s="6" t="s">
        <v>24</v>
      </c>
      <c r="F38" s="6" t="s">
        <v>25</v>
      </c>
      <c r="G38" s="6" t="s">
        <v>26</v>
      </c>
    </row>
    <row r="39" spans="1:7" x14ac:dyDescent="0.3">
      <c r="B39" s="13" t="s">
        <v>70</v>
      </c>
      <c r="C39" s="12"/>
      <c r="D39" s="12"/>
      <c r="E39" s="12"/>
      <c r="F39" s="12"/>
      <c r="G39" s="12"/>
    </row>
    <row r="40" spans="1:7" hidden="1" outlineLevel="1" x14ac:dyDescent="0.3">
      <c r="B40" s="8" t="s">
        <v>40</v>
      </c>
      <c r="C40" s="8" t="s">
        <v>2</v>
      </c>
      <c r="D40" s="10">
        <v>160</v>
      </c>
      <c r="E40" s="8" t="s">
        <v>41</v>
      </c>
      <c r="F40" s="8" t="s">
        <v>42</v>
      </c>
      <c r="G40" s="8">
        <v>0</v>
      </c>
    </row>
    <row r="41" spans="1:7" hidden="1" outlineLevel="1" x14ac:dyDescent="0.3">
      <c r="B41" s="8" t="s">
        <v>43</v>
      </c>
      <c r="C41" s="8" t="s">
        <v>2</v>
      </c>
      <c r="D41" s="10">
        <v>170</v>
      </c>
      <c r="E41" s="8" t="s">
        <v>44</v>
      </c>
      <c r="F41" s="8" t="s">
        <v>42</v>
      </c>
      <c r="G41" s="8">
        <v>0</v>
      </c>
    </row>
    <row r="42" spans="1:7" hidden="1" outlineLevel="1" x14ac:dyDescent="0.3">
      <c r="B42" s="8" t="s">
        <v>45</v>
      </c>
      <c r="C42" s="8" t="s">
        <v>2</v>
      </c>
      <c r="D42" s="10">
        <v>90</v>
      </c>
      <c r="E42" s="8" t="s">
        <v>46</v>
      </c>
      <c r="F42" s="8" t="s">
        <v>42</v>
      </c>
      <c r="G42" s="8">
        <v>0</v>
      </c>
    </row>
    <row r="43" spans="1:7" hidden="1" outlineLevel="1" x14ac:dyDescent="0.3">
      <c r="B43" s="8" t="s">
        <v>47</v>
      </c>
      <c r="C43" s="8" t="s">
        <v>2</v>
      </c>
      <c r="D43" s="10">
        <v>110</v>
      </c>
      <c r="E43" s="8" t="s">
        <v>48</v>
      </c>
      <c r="F43" s="8" t="s">
        <v>42</v>
      </c>
      <c r="G43" s="8">
        <v>0</v>
      </c>
    </row>
    <row r="44" spans="1:7" collapsed="1" x14ac:dyDescent="0.3">
      <c r="B44" s="8"/>
      <c r="C44" s="8"/>
      <c r="D44" s="10"/>
      <c r="E44" s="8"/>
      <c r="F44" s="8"/>
      <c r="G44" s="8"/>
    </row>
    <row r="45" spans="1:7" x14ac:dyDescent="0.3">
      <c r="B45" s="14" t="s">
        <v>71</v>
      </c>
      <c r="C45" s="8"/>
      <c r="D45" s="10"/>
      <c r="E45" s="8"/>
      <c r="F45" s="8"/>
      <c r="G45" s="8"/>
    </row>
    <row r="46" spans="1:7" hidden="1" outlineLevel="1" x14ac:dyDescent="0.3">
      <c r="B46" s="8" t="s">
        <v>49</v>
      </c>
      <c r="C46" s="8" t="s">
        <v>2</v>
      </c>
      <c r="D46" s="10">
        <v>200</v>
      </c>
      <c r="E46" s="8" t="s">
        <v>50</v>
      </c>
      <c r="F46" s="8" t="s">
        <v>42</v>
      </c>
      <c r="G46" s="8">
        <v>0</v>
      </c>
    </row>
    <row r="47" spans="1:7" hidden="1" outlineLevel="1" x14ac:dyDescent="0.3">
      <c r="B47" s="8" t="s">
        <v>51</v>
      </c>
      <c r="C47" s="8" t="s">
        <v>2</v>
      </c>
      <c r="D47" s="10">
        <v>145</v>
      </c>
      <c r="E47" s="8" t="s">
        <v>52</v>
      </c>
      <c r="F47" s="8" t="s">
        <v>42</v>
      </c>
      <c r="G47" s="8">
        <v>0</v>
      </c>
    </row>
    <row r="48" spans="1:7" hidden="1" outlineLevel="1" x14ac:dyDescent="0.3">
      <c r="B48" s="8" t="s">
        <v>53</v>
      </c>
      <c r="C48" s="8" t="s">
        <v>2</v>
      </c>
      <c r="D48" s="10">
        <v>185</v>
      </c>
      <c r="E48" s="8" t="s">
        <v>54</v>
      </c>
      <c r="F48" s="8" t="s">
        <v>42</v>
      </c>
      <c r="G48" s="8">
        <v>0</v>
      </c>
    </row>
    <row r="49" spans="2:7" collapsed="1" x14ac:dyDescent="0.3">
      <c r="B49" s="8"/>
      <c r="C49" s="8"/>
      <c r="D49" s="10"/>
      <c r="E49" s="8"/>
      <c r="F49" s="8"/>
      <c r="G49" s="8"/>
    </row>
    <row r="50" spans="2:7" x14ac:dyDescent="0.3">
      <c r="B50" s="14" t="s">
        <v>72</v>
      </c>
      <c r="C50" s="8"/>
      <c r="D50" s="10"/>
      <c r="E50" s="8"/>
      <c r="F50" s="8"/>
      <c r="G50" s="8"/>
    </row>
    <row r="51" spans="2:7" hidden="1" outlineLevel="1" x14ac:dyDescent="0.3">
      <c r="B51" s="8" t="s">
        <v>28</v>
      </c>
      <c r="C51" s="8"/>
      <c r="D51" s="10">
        <v>90</v>
      </c>
      <c r="E51" s="8" t="s">
        <v>55</v>
      </c>
      <c r="F51" s="8" t="s">
        <v>56</v>
      </c>
      <c r="G51" s="10">
        <v>90</v>
      </c>
    </row>
    <row r="52" spans="2:7" hidden="1" outlineLevel="1" x14ac:dyDescent="0.3">
      <c r="B52" s="8" t="s">
        <v>29</v>
      </c>
      <c r="C52" s="8"/>
      <c r="D52" s="10">
        <v>0</v>
      </c>
      <c r="E52" s="8" t="s">
        <v>57</v>
      </c>
      <c r="F52" s="8" t="s">
        <v>42</v>
      </c>
      <c r="G52" s="10">
        <v>0</v>
      </c>
    </row>
    <row r="53" spans="2:7" hidden="1" outlineLevel="1" x14ac:dyDescent="0.3">
      <c r="B53" s="8" t="s">
        <v>30</v>
      </c>
      <c r="C53" s="8"/>
      <c r="D53" s="10">
        <v>0</v>
      </c>
      <c r="E53" s="8" t="s">
        <v>58</v>
      </c>
      <c r="F53" s="8" t="s">
        <v>42</v>
      </c>
      <c r="G53" s="10">
        <v>0</v>
      </c>
    </row>
    <row r="54" spans="2:7" hidden="1" outlineLevel="1" x14ac:dyDescent="0.3">
      <c r="B54" s="8" t="s">
        <v>31</v>
      </c>
      <c r="C54" s="8"/>
      <c r="D54" s="10">
        <v>110</v>
      </c>
      <c r="E54" s="8" t="s">
        <v>59</v>
      </c>
      <c r="F54" s="8" t="s">
        <v>56</v>
      </c>
      <c r="G54" s="10">
        <v>110</v>
      </c>
    </row>
    <row r="55" spans="2:7" hidden="1" outlineLevel="1" x14ac:dyDescent="0.3">
      <c r="B55" s="8" t="s">
        <v>32</v>
      </c>
      <c r="C55" s="8"/>
      <c r="D55" s="10">
        <v>0</v>
      </c>
      <c r="E55" s="8" t="s">
        <v>60</v>
      </c>
      <c r="F55" s="8" t="s">
        <v>42</v>
      </c>
      <c r="G55" s="10">
        <v>0</v>
      </c>
    </row>
    <row r="56" spans="2:7" hidden="1" outlineLevel="1" x14ac:dyDescent="0.3">
      <c r="B56" s="8" t="s">
        <v>33</v>
      </c>
      <c r="C56" s="8"/>
      <c r="D56" s="10">
        <v>145</v>
      </c>
      <c r="E56" s="8" t="s">
        <v>61</v>
      </c>
      <c r="F56" s="8" t="s">
        <v>56</v>
      </c>
      <c r="G56" s="10">
        <v>145</v>
      </c>
    </row>
    <row r="57" spans="2:7" hidden="1" outlineLevel="1" x14ac:dyDescent="0.3">
      <c r="B57" s="8" t="s">
        <v>34</v>
      </c>
      <c r="C57" s="8"/>
      <c r="D57" s="10">
        <v>0</v>
      </c>
      <c r="E57" s="8" t="s">
        <v>62</v>
      </c>
      <c r="F57" s="8" t="s">
        <v>42</v>
      </c>
      <c r="G57" s="10">
        <v>0</v>
      </c>
    </row>
    <row r="58" spans="2:7" hidden="1" outlineLevel="1" x14ac:dyDescent="0.3">
      <c r="B58" s="8" t="s">
        <v>35</v>
      </c>
      <c r="C58" s="8"/>
      <c r="D58" s="10">
        <v>0</v>
      </c>
      <c r="E58" s="8" t="s">
        <v>63</v>
      </c>
      <c r="F58" s="8" t="s">
        <v>42</v>
      </c>
      <c r="G58" s="10">
        <v>0</v>
      </c>
    </row>
    <row r="59" spans="2:7" hidden="1" outlineLevel="1" x14ac:dyDescent="0.3">
      <c r="B59" s="8" t="s">
        <v>36</v>
      </c>
      <c r="C59" s="8"/>
      <c r="D59" s="10">
        <v>70</v>
      </c>
      <c r="E59" s="8" t="s">
        <v>64</v>
      </c>
      <c r="F59" s="8" t="s">
        <v>56</v>
      </c>
      <c r="G59" s="10">
        <v>70</v>
      </c>
    </row>
    <row r="60" spans="2:7" hidden="1" outlineLevel="1" x14ac:dyDescent="0.3">
      <c r="B60" s="8" t="s">
        <v>37</v>
      </c>
      <c r="C60" s="8"/>
      <c r="D60" s="10">
        <v>25</v>
      </c>
      <c r="E60" s="8" t="s">
        <v>65</v>
      </c>
      <c r="F60" s="8" t="s">
        <v>56</v>
      </c>
      <c r="G60" s="10">
        <v>25</v>
      </c>
    </row>
    <row r="61" spans="2:7" hidden="1" outlineLevel="1" x14ac:dyDescent="0.3">
      <c r="B61" s="8" t="s">
        <v>38</v>
      </c>
      <c r="C61" s="8"/>
      <c r="D61" s="10">
        <v>90</v>
      </c>
      <c r="E61" s="8" t="s">
        <v>66</v>
      </c>
      <c r="F61" s="8" t="s">
        <v>56</v>
      </c>
      <c r="G61" s="10">
        <v>90</v>
      </c>
    </row>
    <row r="62" spans="2:7" hidden="1" outlineLevel="1" x14ac:dyDescent="0.3">
      <c r="B62" s="8" t="s">
        <v>39</v>
      </c>
      <c r="C62" s="8"/>
      <c r="D62" s="10">
        <v>0</v>
      </c>
      <c r="E62" s="8" t="s">
        <v>67</v>
      </c>
      <c r="F62" s="8" t="s">
        <v>42</v>
      </c>
      <c r="G62" s="10">
        <v>0</v>
      </c>
    </row>
    <row r="63" spans="2:7" collapsed="1" x14ac:dyDescent="0.3">
      <c r="B63" s="8"/>
      <c r="C63" s="8"/>
      <c r="D63" s="10"/>
      <c r="E63" s="8"/>
      <c r="F63" s="8"/>
      <c r="G63" s="10"/>
    </row>
    <row r="64" spans="2:7" ht="15" thickBot="1" x14ac:dyDescent="0.35">
      <c r="B64" s="5" t="s">
        <v>68</v>
      </c>
      <c r="C64" s="5"/>
      <c r="D64" s="5"/>
      <c r="E64" s="5"/>
      <c r="F64" s="5"/>
      <c r="G6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J5" sqref="J5"/>
    </sheetView>
  </sheetViews>
  <sheetFormatPr defaultRowHeight="14.4" x14ac:dyDescent="0.3"/>
  <cols>
    <col min="1" max="1" width="19.33203125" customWidth="1"/>
  </cols>
  <sheetData>
    <row r="1" spans="1:10" x14ac:dyDescent="0.3">
      <c r="A1" t="s">
        <v>0</v>
      </c>
    </row>
    <row r="3" spans="1:10" x14ac:dyDescent="0.3">
      <c r="A3" s="2" t="s">
        <v>1</v>
      </c>
      <c r="B3" s="3">
        <v>1</v>
      </c>
      <c r="C3" s="3">
        <v>2</v>
      </c>
      <c r="D3" s="3">
        <v>3</v>
      </c>
      <c r="E3" s="3">
        <v>4</v>
      </c>
      <c r="F3" s="3" t="s">
        <v>2</v>
      </c>
      <c r="H3" t="s">
        <v>3</v>
      </c>
      <c r="J3" t="s">
        <v>73</v>
      </c>
    </row>
    <row r="4" spans="1:10" x14ac:dyDescent="0.3">
      <c r="A4" s="3">
        <v>1</v>
      </c>
      <c r="B4" s="1">
        <v>7</v>
      </c>
      <c r="C4" s="1">
        <v>5</v>
      </c>
      <c r="D4" s="1">
        <v>5</v>
      </c>
      <c r="E4" s="1">
        <v>7</v>
      </c>
      <c r="F4" s="3">
        <v>200</v>
      </c>
      <c r="H4">
        <f>SUMPRODUCT(B4:E6,B10:E12)</f>
        <v>2860</v>
      </c>
    </row>
    <row r="5" spans="1:10" x14ac:dyDescent="0.3">
      <c r="A5" s="3">
        <v>2</v>
      </c>
      <c r="B5" s="1">
        <v>8</v>
      </c>
      <c r="C5" s="1">
        <v>4</v>
      </c>
      <c r="D5" s="1">
        <v>5</v>
      </c>
      <c r="E5" s="1">
        <v>9</v>
      </c>
      <c r="F5" s="3">
        <v>145</v>
      </c>
    </row>
    <row r="6" spans="1:10" x14ac:dyDescent="0.3">
      <c r="A6" s="3">
        <v>3</v>
      </c>
      <c r="B6" s="1">
        <v>6</v>
      </c>
      <c r="C6" s="1">
        <v>4</v>
      </c>
      <c r="D6" s="1">
        <v>4</v>
      </c>
      <c r="E6" s="1">
        <v>8</v>
      </c>
      <c r="F6" s="3">
        <v>185</v>
      </c>
    </row>
    <row r="7" spans="1:10" x14ac:dyDescent="0.3">
      <c r="A7" s="3" t="s">
        <v>2</v>
      </c>
      <c r="B7" s="3">
        <v>160</v>
      </c>
      <c r="C7" s="3">
        <v>170</v>
      </c>
      <c r="D7" s="3">
        <v>90</v>
      </c>
      <c r="E7" s="3">
        <v>110</v>
      </c>
      <c r="F7" s="3"/>
    </row>
    <row r="9" spans="1:10" x14ac:dyDescent="0.3">
      <c r="A9" s="2" t="s">
        <v>1</v>
      </c>
      <c r="B9" s="3">
        <v>1</v>
      </c>
      <c r="C9" s="3">
        <v>2</v>
      </c>
      <c r="D9" s="3">
        <v>3</v>
      </c>
      <c r="E9" s="3">
        <v>4</v>
      </c>
      <c r="F9" s="3" t="s">
        <v>2</v>
      </c>
    </row>
    <row r="10" spans="1:10" x14ac:dyDescent="0.3">
      <c r="A10" s="3">
        <v>1</v>
      </c>
      <c r="B10" s="1">
        <v>90</v>
      </c>
      <c r="C10" s="1">
        <v>0</v>
      </c>
      <c r="D10" s="1">
        <v>0</v>
      </c>
      <c r="E10" s="1">
        <v>110</v>
      </c>
      <c r="F10" s="3">
        <f>SUM(B10:E10)</f>
        <v>200</v>
      </c>
    </row>
    <row r="11" spans="1:10" x14ac:dyDescent="0.3">
      <c r="A11" s="3">
        <v>2</v>
      </c>
      <c r="B11" s="1">
        <v>0</v>
      </c>
      <c r="C11" s="1">
        <v>145</v>
      </c>
      <c r="D11" s="1">
        <v>0</v>
      </c>
      <c r="E11" s="1">
        <v>0</v>
      </c>
      <c r="F11" s="3">
        <f t="shared" ref="F11:F12" si="0">SUM(B11:E11)</f>
        <v>145</v>
      </c>
    </row>
    <row r="12" spans="1:10" x14ac:dyDescent="0.3">
      <c r="A12" s="3">
        <v>3</v>
      </c>
      <c r="B12" s="1">
        <v>70</v>
      </c>
      <c r="C12" s="1">
        <v>25</v>
      </c>
      <c r="D12" s="1">
        <v>90</v>
      </c>
      <c r="E12" s="1">
        <v>0</v>
      </c>
      <c r="F12" s="3">
        <f t="shared" si="0"/>
        <v>185</v>
      </c>
    </row>
    <row r="13" spans="1:10" x14ac:dyDescent="0.3">
      <c r="A13" s="3" t="s">
        <v>2</v>
      </c>
      <c r="B13" s="1">
        <f>SUM(B10:B12)</f>
        <v>160</v>
      </c>
      <c r="C13" s="1">
        <f t="shared" ref="C13:E13" si="1">SUM(C10:C12)</f>
        <v>170</v>
      </c>
      <c r="D13" s="1">
        <f t="shared" si="1"/>
        <v>90</v>
      </c>
      <c r="E13" s="1">
        <f t="shared" si="1"/>
        <v>110</v>
      </c>
      <c r="F13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Отчет о результатах 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Жантай Сартбаев</dc:creator>
  <cp:lastModifiedBy>Жантай Сартбаев</cp:lastModifiedBy>
  <dcterms:created xsi:type="dcterms:W3CDTF">2015-06-05T18:19:34Z</dcterms:created>
  <dcterms:modified xsi:type="dcterms:W3CDTF">2026-03-04T00:10:16Z</dcterms:modified>
</cp:coreProperties>
</file>